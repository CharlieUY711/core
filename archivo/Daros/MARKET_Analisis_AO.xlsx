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RE\Daros\"/>
    </mc:Choice>
  </mc:AlternateContent>
  <xr:revisionPtr revIDLastSave="0" documentId="13_ncr:1_{36ED9ADA-E1A6-4A49-B036-641569CEF6F9}" xr6:coauthVersionLast="47" xr6:coauthVersionMax="47" xr10:uidLastSave="{00000000-0000-0000-0000-000000000000}"/>
  <bookViews>
    <workbookView xWindow="-108" yWindow="-108" windowWidth="23256" windowHeight="12456" activeTab="2" xr2:uid="{148539E3-C779-4591-8C12-5071676FE1EB}"/>
  </bookViews>
  <sheets>
    <sheet name="Mercado" sheetId="1" r:id="rId1"/>
    <sheet name="Objetivo" sheetId="2" r:id="rId2"/>
    <sheet name="Directorio" sheetId="5" r:id="rId3"/>
    <sheet name="P&amp;L" sheetId="4" r:id="rId4"/>
    <sheet name="Prod. " sheetId="8" r:id="rId5"/>
    <sheet name="Imp." sheetId="9" r:id="rId6"/>
    <sheet name="Exp." sheetId="10" r:id="rId7"/>
    <sheet name="Con." sheetId="11" r:id="rId8"/>
    <sheet name="Valores" sheetId="6" r:id="rId9"/>
  </sheets>
  <definedNames>
    <definedName name="_xlnm.Print_Area" localSheetId="7">'Con.'!$A$1:$AM$71</definedName>
    <definedName name="_xlnm.Print_Area" localSheetId="6">Exp.!$A$1:$AM$72</definedName>
    <definedName name="_xlnm.Print_Area" localSheetId="5">Imp.!$A$1:$AM$72</definedName>
    <definedName name="_xlnm.Print_Area" localSheetId="4">'Prod. '!$A$1:$AM$80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2" l="1"/>
  <c r="B41" i="4"/>
  <c r="C2" i="2"/>
  <c r="C3" i="2" s="1"/>
  <c r="C4" i="2" s="1"/>
  <c r="C5" i="2" s="1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3" i="2" s="1"/>
  <c r="C34" i="2" s="1"/>
  <c r="C35" i="2" s="1"/>
  <c r="C36" i="2" s="1"/>
  <c r="C37" i="2" s="1"/>
  <c r="C38" i="2" s="1"/>
  <c r="I2" i="2"/>
  <c r="B50" i="4"/>
  <c r="D9" i="6"/>
  <c r="D8" i="6"/>
  <c r="D7" i="6"/>
  <c r="H2" i="2"/>
  <c r="C9" i="6"/>
  <c r="C8" i="6"/>
  <c r="C7" i="6"/>
  <c r="B9" i="6"/>
  <c r="E2" i="2"/>
  <c r="K20" i="1"/>
  <c r="K19" i="1"/>
  <c r="K18" i="1"/>
  <c r="F20" i="1"/>
  <c r="I20" i="1"/>
  <c r="J20" i="1" s="1"/>
  <c r="I19" i="1"/>
  <c r="J19" i="1" s="1"/>
  <c r="I18" i="1"/>
  <c r="J18" i="1" s="1"/>
  <c r="D19" i="1"/>
  <c r="D20" i="1" s="1"/>
  <c r="E20" i="1" s="1"/>
  <c r="E18" i="1"/>
  <c r="AC65" i="11"/>
  <c r="R65" i="11"/>
  <c r="M65" i="11"/>
  <c r="C65" i="11"/>
  <c r="AL61" i="11"/>
  <c r="AK61" i="11"/>
  <c r="AJ61" i="11"/>
  <c r="AD61" i="11"/>
  <c r="AC61" i="11"/>
  <c r="AB61" i="11"/>
  <c r="AA61" i="11"/>
  <c r="Z61" i="11"/>
  <c r="Y61" i="11"/>
  <c r="X61" i="11"/>
  <c r="W61" i="11"/>
  <c r="V61" i="11"/>
  <c r="U61" i="11"/>
  <c r="T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T59" i="11"/>
  <c r="S59" i="11"/>
  <c r="S61" i="11" s="1"/>
  <c r="S65" i="11" s="1"/>
  <c r="R59" i="11"/>
  <c r="Q59" i="11"/>
  <c r="AL41" i="11"/>
  <c r="AL65" i="11" s="1"/>
  <c r="AK41" i="11"/>
  <c r="AK65" i="11" s="1"/>
  <c r="AJ41" i="11"/>
  <c r="AJ65" i="11" s="1"/>
  <c r="AD41" i="11"/>
  <c r="AD65" i="11" s="1"/>
  <c r="AC41" i="11"/>
  <c r="AB41" i="11"/>
  <c r="AB65" i="11" s="1"/>
  <c r="AA41" i="11"/>
  <c r="AA65" i="11" s="1"/>
  <c r="Z41" i="11"/>
  <c r="Z65" i="11" s="1"/>
  <c r="Y41" i="11"/>
  <c r="Y65" i="11" s="1"/>
  <c r="X41" i="11"/>
  <c r="X65" i="11" s="1"/>
  <c r="W41" i="11"/>
  <c r="W65" i="11" s="1"/>
  <c r="V41" i="11"/>
  <c r="V65" i="11" s="1"/>
  <c r="U41" i="11"/>
  <c r="U65" i="11" s="1"/>
  <c r="T41" i="11"/>
  <c r="T65" i="11" s="1"/>
  <c r="S41" i="11"/>
  <c r="R41" i="11"/>
  <c r="Q41" i="11"/>
  <c r="Q65" i="11" s="1"/>
  <c r="P41" i="11"/>
  <c r="P65" i="11" s="1"/>
  <c r="O41" i="11"/>
  <c r="O65" i="11" s="1"/>
  <c r="N41" i="11"/>
  <c r="N65" i="11" s="1"/>
  <c r="M41" i="11"/>
  <c r="L41" i="11"/>
  <c r="L65" i="11" s="1"/>
  <c r="K41" i="11"/>
  <c r="K65" i="11" s="1"/>
  <c r="J41" i="11"/>
  <c r="J65" i="11" s="1"/>
  <c r="I41" i="11"/>
  <c r="I65" i="11" s="1"/>
  <c r="H41" i="11"/>
  <c r="H65" i="11" s="1"/>
  <c r="G41" i="11"/>
  <c r="G65" i="11" s="1"/>
  <c r="F41" i="11"/>
  <c r="F65" i="11" s="1"/>
  <c r="E41" i="11"/>
  <c r="E65" i="11" s="1"/>
  <c r="D41" i="11"/>
  <c r="D65" i="11" s="1"/>
  <c r="C41" i="11"/>
  <c r="AJ65" i="10"/>
  <c r="AD65" i="10"/>
  <c r="Z65" i="10"/>
  <c r="W65" i="10"/>
  <c r="V65" i="10"/>
  <c r="S65" i="10"/>
  <c r="O65" i="10"/>
  <c r="N65" i="10"/>
  <c r="J65" i="10"/>
  <c r="G65" i="10"/>
  <c r="F65" i="10"/>
  <c r="C65" i="10"/>
  <c r="AL61" i="10"/>
  <c r="AK61" i="10"/>
  <c r="AJ61" i="10"/>
  <c r="AD61" i="10"/>
  <c r="AC61" i="10"/>
  <c r="AC65" i="10" s="1"/>
  <c r="AB61" i="10"/>
  <c r="AA61" i="10"/>
  <c r="AA65" i="10" s="1"/>
  <c r="Z61" i="10"/>
  <c r="Y61" i="10"/>
  <c r="Y65" i="10" s="1"/>
  <c r="X61" i="10"/>
  <c r="W61" i="10"/>
  <c r="V61" i="10"/>
  <c r="U61" i="10"/>
  <c r="U65" i="10" s="1"/>
  <c r="T61" i="10"/>
  <c r="S61" i="10"/>
  <c r="R61" i="10"/>
  <c r="Q61" i="10"/>
  <c r="P61" i="10"/>
  <c r="O61" i="10"/>
  <c r="N61" i="10"/>
  <c r="M61" i="10"/>
  <c r="M65" i="10" s="1"/>
  <c r="L61" i="10"/>
  <c r="K61" i="10"/>
  <c r="K65" i="10" s="1"/>
  <c r="J61" i="10"/>
  <c r="I61" i="10"/>
  <c r="I65" i="10" s="1"/>
  <c r="H61" i="10"/>
  <c r="G61" i="10"/>
  <c r="F61" i="10"/>
  <c r="E61" i="10"/>
  <c r="E65" i="10" s="1"/>
  <c r="D61" i="10"/>
  <c r="C61" i="10"/>
  <c r="AL41" i="10"/>
  <c r="AL65" i="10" s="1"/>
  <c r="AK41" i="10"/>
  <c r="AK65" i="10" s="1"/>
  <c r="AJ41" i="10"/>
  <c r="AD41" i="10"/>
  <c r="AC41" i="10"/>
  <c r="AB41" i="10"/>
  <c r="AB65" i="10" s="1"/>
  <c r="AA41" i="10"/>
  <c r="Z41" i="10"/>
  <c r="Y41" i="10"/>
  <c r="X41" i="10"/>
  <c r="X65" i="10" s="1"/>
  <c r="W41" i="10"/>
  <c r="V41" i="10"/>
  <c r="U41" i="10"/>
  <c r="T41" i="10"/>
  <c r="T65" i="10" s="1"/>
  <c r="S41" i="10"/>
  <c r="R41" i="10"/>
  <c r="R65" i="10" s="1"/>
  <c r="Q41" i="10"/>
  <c r="Q65" i="10" s="1"/>
  <c r="P41" i="10"/>
  <c r="P65" i="10" s="1"/>
  <c r="O41" i="10"/>
  <c r="N41" i="10"/>
  <c r="M41" i="10"/>
  <c r="L41" i="10"/>
  <c r="L65" i="10" s="1"/>
  <c r="K41" i="10"/>
  <c r="J41" i="10"/>
  <c r="I41" i="10"/>
  <c r="H41" i="10"/>
  <c r="H65" i="10" s="1"/>
  <c r="G41" i="10"/>
  <c r="F41" i="10"/>
  <c r="E41" i="10"/>
  <c r="D41" i="10"/>
  <c r="D65" i="10" s="1"/>
  <c r="C41" i="10"/>
  <c r="AK65" i="9"/>
  <c r="AA65" i="9"/>
  <c r="Y65" i="9"/>
  <c r="W65" i="9"/>
  <c r="T65" i="9"/>
  <c r="S65" i="9"/>
  <c r="R65" i="9"/>
  <c r="P65" i="9"/>
  <c r="K65" i="9"/>
  <c r="I65" i="9"/>
  <c r="G65" i="9"/>
  <c r="D65" i="9"/>
  <c r="C65" i="9"/>
  <c r="AL61" i="9"/>
  <c r="AK61" i="9"/>
  <c r="AJ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Q59" i="9"/>
  <c r="AL41" i="9"/>
  <c r="AL65" i="9" s="1"/>
  <c r="AK41" i="9"/>
  <c r="AJ41" i="9"/>
  <c r="AJ65" i="9" s="1"/>
  <c r="AD41" i="9"/>
  <c r="AD65" i="9" s="1"/>
  <c r="AC41" i="9"/>
  <c r="AC65" i="9" s="1"/>
  <c r="AB41" i="9"/>
  <c r="AB65" i="9" s="1"/>
  <c r="AA41" i="9"/>
  <c r="Z41" i="9"/>
  <c r="Z65" i="9" s="1"/>
  <c r="Y41" i="9"/>
  <c r="X41" i="9"/>
  <c r="X65" i="9" s="1"/>
  <c r="W41" i="9"/>
  <c r="V41" i="9"/>
  <c r="V65" i="9" s="1"/>
  <c r="U41" i="9"/>
  <c r="U65" i="9" s="1"/>
  <c r="T41" i="9"/>
  <c r="S41" i="9"/>
  <c r="R41" i="9"/>
  <c r="Q41" i="9"/>
  <c r="Q65" i="9" s="1"/>
  <c r="P41" i="9"/>
  <c r="O41" i="9"/>
  <c r="O65" i="9" s="1"/>
  <c r="N41" i="9"/>
  <c r="N65" i="9" s="1"/>
  <c r="M41" i="9"/>
  <c r="M65" i="9" s="1"/>
  <c r="L41" i="9"/>
  <c r="L65" i="9" s="1"/>
  <c r="K41" i="9"/>
  <c r="J41" i="9"/>
  <c r="J65" i="9" s="1"/>
  <c r="I41" i="9"/>
  <c r="H41" i="9"/>
  <c r="H65" i="9" s="1"/>
  <c r="G41" i="9"/>
  <c r="F41" i="9"/>
  <c r="F65" i="9" s="1"/>
  <c r="E41" i="9"/>
  <c r="E65" i="9" s="1"/>
  <c r="D41" i="9"/>
  <c r="C41" i="9"/>
  <c r="AL74" i="8"/>
  <c r="AK74" i="8"/>
  <c r="AD74" i="8"/>
  <c r="Y74" i="8"/>
  <c r="U74" i="8"/>
  <c r="R74" i="8"/>
  <c r="Q74" i="8"/>
  <c r="P74" i="8"/>
  <c r="N74" i="8"/>
  <c r="I74" i="8"/>
  <c r="E74" i="8"/>
  <c r="AL70" i="8"/>
  <c r="AK70" i="8"/>
  <c r="AJ70" i="8"/>
  <c r="AJ74" i="8" s="1"/>
  <c r="AD70" i="8"/>
  <c r="AC70" i="8"/>
  <c r="AB70" i="8"/>
  <c r="AA70" i="8"/>
  <c r="Z70" i="8"/>
  <c r="Y70" i="8"/>
  <c r="X70" i="8"/>
  <c r="W70" i="8"/>
  <c r="V70" i="8"/>
  <c r="V74" i="8" s="1"/>
  <c r="U70" i="8"/>
  <c r="T70" i="8"/>
  <c r="T74" i="8" s="1"/>
  <c r="S70" i="8"/>
  <c r="R70" i="8"/>
  <c r="Q70" i="8"/>
  <c r="P70" i="8"/>
  <c r="O70" i="8"/>
  <c r="O74" i="8" s="1"/>
  <c r="N70" i="8"/>
  <c r="M70" i="8"/>
  <c r="L70" i="8"/>
  <c r="K70" i="8"/>
  <c r="J70" i="8"/>
  <c r="I70" i="8"/>
  <c r="H70" i="8"/>
  <c r="G70" i="8"/>
  <c r="F70" i="8"/>
  <c r="E70" i="8"/>
  <c r="D70" i="8"/>
  <c r="D74" i="8" s="1"/>
  <c r="C70" i="8"/>
  <c r="AL50" i="8"/>
  <c r="AK50" i="8"/>
  <c r="AJ50" i="8"/>
  <c r="AD50" i="8"/>
  <c r="AC50" i="8"/>
  <c r="AC74" i="8" s="1"/>
  <c r="AB50" i="8"/>
  <c r="AB74" i="8" s="1"/>
  <c r="AA50" i="8"/>
  <c r="AA74" i="8" s="1"/>
  <c r="Z50" i="8"/>
  <c r="Z74" i="8" s="1"/>
  <c r="Y50" i="8"/>
  <c r="X50" i="8"/>
  <c r="X74" i="8" s="1"/>
  <c r="W50" i="8"/>
  <c r="W74" i="8" s="1"/>
  <c r="V50" i="8"/>
  <c r="U50" i="8"/>
  <c r="T50" i="8"/>
  <c r="S50" i="8"/>
  <c r="S74" i="8" s="1"/>
  <c r="R50" i="8"/>
  <c r="Q50" i="8"/>
  <c r="P50" i="8"/>
  <c r="O50" i="8"/>
  <c r="N50" i="8"/>
  <c r="M50" i="8"/>
  <c r="M74" i="8" s="1"/>
  <c r="L50" i="8"/>
  <c r="L74" i="8" s="1"/>
  <c r="K50" i="8"/>
  <c r="K74" i="8" s="1"/>
  <c r="J50" i="8"/>
  <c r="J74" i="8" s="1"/>
  <c r="I50" i="8"/>
  <c r="H50" i="8"/>
  <c r="H74" i="8" s="1"/>
  <c r="G50" i="8"/>
  <c r="G74" i="8" s="1"/>
  <c r="F50" i="8"/>
  <c r="F74" i="8" s="1"/>
  <c r="E50" i="8"/>
  <c r="D50" i="8"/>
  <c r="C50" i="8"/>
  <c r="C74" i="8" s="1"/>
  <c r="J2" i="2" l="1"/>
  <c r="K2" i="2"/>
  <c r="L2" i="2"/>
  <c r="M2" i="2"/>
  <c r="P2" i="2" s="1"/>
  <c r="O2" i="2"/>
  <c r="E3" i="2"/>
  <c r="C32" i="2"/>
  <c r="F2" i="2"/>
  <c r="E19" i="1"/>
  <c r="R2" i="2" l="1"/>
  <c r="S2" i="2" s="1"/>
  <c r="T2" i="2" s="1"/>
  <c r="U2" i="2" s="1"/>
  <c r="Q2" i="2"/>
  <c r="F3" i="2"/>
  <c r="E4" i="2"/>
  <c r="G4" i="2" s="1"/>
  <c r="G3" i="2"/>
  <c r="E5" i="2"/>
  <c r="G5" i="2" s="1"/>
  <c r="F4" i="2" l="1"/>
  <c r="F5" i="2"/>
  <c r="H5" i="2"/>
  <c r="I5" i="2"/>
  <c r="H3" i="2"/>
  <c r="I3" i="2"/>
  <c r="C5" i="5" s="1"/>
  <c r="H4" i="2"/>
  <c r="N4" i="2" s="1"/>
  <c r="I4" i="2"/>
  <c r="E6" i="2"/>
  <c r="G6" i="2" s="1"/>
  <c r="N3" i="2" l="1"/>
  <c r="C4" i="5"/>
  <c r="N5" i="2"/>
  <c r="J3" i="2"/>
  <c r="H6" i="2"/>
  <c r="N6" i="2" s="1"/>
  <c r="I6" i="2"/>
  <c r="L4" i="2"/>
  <c r="O4" i="2"/>
  <c r="M4" i="2"/>
  <c r="K4" i="2"/>
  <c r="J4" i="2"/>
  <c r="M3" i="2"/>
  <c r="L3" i="2"/>
  <c r="K3" i="2"/>
  <c r="O3" i="2"/>
  <c r="O5" i="2"/>
  <c r="M5" i="2"/>
  <c r="L5" i="2"/>
  <c r="K5" i="2"/>
  <c r="J5" i="2"/>
  <c r="E7" i="2"/>
  <c r="G7" i="2" s="1"/>
  <c r="F6" i="2"/>
  <c r="P4" i="2" l="1"/>
  <c r="Q4" i="2" s="1"/>
  <c r="C11" i="5"/>
  <c r="C8" i="5"/>
  <c r="C6" i="5"/>
  <c r="C7" i="5"/>
  <c r="C9" i="5"/>
  <c r="C10" i="5"/>
  <c r="H7" i="2"/>
  <c r="I7" i="2"/>
  <c r="P5" i="2"/>
  <c r="Q5" i="2" s="1"/>
  <c r="P3" i="2"/>
  <c r="R4" i="2"/>
  <c r="F7" i="2"/>
  <c r="R5" i="2"/>
  <c r="K6" i="2"/>
  <c r="J6" i="2"/>
  <c r="O6" i="2"/>
  <c r="M6" i="2"/>
  <c r="L6" i="2"/>
  <c r="E8" i="2"/>
  <c r="G8" i="2" s="1"/>
  <c r="N7" i="2" l="1"/>
  <c r="D4" i="5"/>
  <c r="C12" i="5"/>
  <c r="J7" i="2"/>
  <c r="D5" i="5"/>
  <c r="Q3" i="2"/>
  <c r="R3" i="2"/>
  <c r="S3" i="2" s="1"/>
  <c r="T3" i="2" s="1"/>
  <c r="U3" i="2" s="1"/>
  <c r="H8" i="2"/>
  <c r="I8" i="2"/>
  <c r="P6" i="2"/>
  <c r="Q6" i="2" s="1"/>
  <c r="S5" i="2"/>
  <c r="T5" i="2"/>
  <c r="U5" i="2" s="1"/>
  <c r="S4" i="2"/>
  <c r="T4" i="2" s="1"/>
  <c r="U4" i="2" s="1"/>
  <c r="O7" i="2"/>
  <c r="M7" i="2"/>
  <c r="L7" i="2"/>
  <c r="K7" i="2"/>
  <c r="E9" i="2"/>
  <c r="G9" i="2" s="1"/>
  <c r="F8" i="2"/>
  <c r="F9" i="2" s="1"/>
  <c r="N8" i="2" l="1"/>
  <c r="C13" i="5"/>
  <c r="C14" i="5" s="1"/>
  <c r="D10" i="5"/>
  <c r="D7" i="5"/>
  <c r="D6" i="5"/>
  <c r="D11" i="5"/>
  <c r="D9" i="5"/>
  <c r="D8" i="5"/>
  <c r="P7" i="2"/>
  <c r="O8" i="2"/>
  <c r="M8" i="2"/>
  <c r="L8" i="2"/>
  <c r="K8" i="2"/>
  <c r="J8" i="2"/>
  <c r="H9" i="2"/>
  <c r="N9" i="2" s="1"/>
  <c r="I9" i="2"/>
  <c r="R6" i="2"/>
  <c r="S6" i="2" s="1"/>
  <c r="T6" i="2" s="1"/>
  <c r="U6" i="2" s="1"/>
  <c r="E10" i="2"/>
  <c r="G10" i="2" s="1"/>
  <c r="D12" i="5" l="1"/>
  <c r="D13" i="5" s="1"/>
  <c r="D14" i="5" s="1"/>
  <c r="H10" i="2"/>
  <c r="I10" i="2"/>
  <c r="E5" i="5" s="1"/>
  <c r="L9" i="2"/>
  <c r="K9" i="2"/>
  <c r="J9" i="2"/>
  <c r="O9" i="2"/>
  <c r="M9" i="2"/>
  <c r="P8" i="2"/>
  <c r="Q8" i="2" s="1"/>
  <c r="Q7" i="2"/>
  <c r="R7" i="2"/>
  <c r="S7" i="2" s="1"/>
  <c r="T7" i="2" s="1"/>
  <c r="U7" i="2" s="1"/>
  <c r="E11" i="2"/>
  <c r="G11" i="2" s="1"/>
  <c r="F10" i="2"/>
  <c r="N10" i="2" l="1"/>
  <c r="E4" i="5"/>
  <c r="P9" i="2"/>
  <c r="Q9" i="2" s="1"/>
  <c r="H11" i="2"/>
  <c r="I11" i="2"/>
  <c r="R8" i="2"/>
  <c r="S8" i="2" s="1"/>
  <c r="T8" i="2" s="1"/>
  <c r="U8" i="2" s="1"/>
  <c r="R9" i="2"/>
  <c r="S9" i="2" s="1"/>
  <c r="T9" i="2" s="1"/>
  <c r="U9" i="2" s="1"/>
  <c r="J10" i="2"/>
  <c r="O10" i="2"/>
  <c r="M10" i="2"/>
  <c r="K10" i="2"/>
  <c r="P10" i="2" s="1"/>
  <c r="Q10" i="2" s="1"/>
  <c r="L10" i="2"/>
  <c r="F11" i="2"/>
  <c r="E12" i="2"/>
  <c r="G12" i="2" s="1"/>
  <c r="N11" i="2" l="1"/>
  <c r="E10" i="5"/>
  <c r="E9" i="5"/>
  <c r="E8" i="5"/>
  <c r="E6" i="5"/>
  <c r="E7" i="5"/>
  <c r="E11" i="5"/>
  <c r="J11" i="2"/>
  <c r="H12" i="2"/>
  <c r="N12" i="2" s="1"/>
  <c r="I12" i="2"/>
  <c r="R10" i="2"/>
  <c r="S10" i="2" s="1"/>
  <c r="T10" i="2" s="1"/>
  <c r="U10" i="2" s="1"/>
  <c r="O11" i="2"/>
  <c r="M11" i="2"/>
  <c r="L11" i="2"/>
  <c r="K11" i="2"/>
  <c r="P11" i="2" s="1"/>
  <c r="Q11" i="2" s="1"/>
  <c r="E13" i="2"/>
  <c r="G13" i="2" s="1"/>
  <c r="F12" i="2"/>
  <c r="E12" i="5" l="1"/>
  <c r="F13" i="2"/>
  <c r="H13" i="2"/>
  <c r="N13" i="2" s="1"/>
  <c r="I13" i="2"/>
  <c r="F5" i="5" s="1"/>
  <c r="R11" i="2"/>
  <c r="S11" i="2" s="1"/>
  <c r="T11" i="2" s="1"/>
  <c r="U11" i="2" s="1"/>
  <c r="K12" i="2"/>
  <c r="J12" i="2"/>
  <c r="O12" i="2"/>
  <c r="M12" i="2"/>
  <c r="L12" i="2"/>
  <c r="E14" i="2"/>
  <c r="G14" i="2" s="1"/>
  <c r="F4" i="5" l="1"/>
  <c r="E13" i="5"/>
  <c r="E14" i="5" s="1"/>
  <c r="H14" i="2"/>
  <c r="I14" i="2"/>
  <c r="P12" i="2"/>
  <c r="Q12" i="2" s="1"/>
  <c r="J13" i="2"/>
  <c r="O13" i="2"/>
  <c r="M13" i="2"/>
  <c r="L13" i="2"/>
  <c r="K13" i="2"/>
  <c r="E15" i="2"/>
  <c r="G15" i="2" s="1"/>
  <c r="F14" i="2"/>
  <c r="F15" i="2" s="1"/>
  <c r="N14" i="2" l="1"/>
  <c r="F10" i="5"/>
  <c r="F11" i="5"/>
  <c r="F8" i="5"/>
  <c r="F6" i="5"/>
  <c r="F12" i="5" s="1"/>
  <c r="F7" i="5"/>
  <c r="F9" i="5"/>
  <c r="P13" i="2"/>
  <c r="Q13" i="2" s="1"/>
  <c r="H15" i="2"/>
  <c r="N15" i="2" s="1"/>
  <c r="I15" i="2"/>
  <c r="R12" i="2"/>
  <c r="S12" i="2" s="1"/>
  <c r="T12" i="2" s="1"/>
  <c r="U12" i="2" s="1"/>
  <c r="O14" i="2"/>
  <c r="M14" i="2"/>
  <c r="L14" i="2"/>
  <c r="K14" i="2"/>
  <c r="J14" i="2"/>
  <c r="E16" i="2"/>
  <c r="G16" i="2" s="1"/>
  <c r="F13" i="5" l="1"/>
  <c r="F14" i="5" s="1"/>
  <c r="R13" i="2"/>
  <c r="S13" i="2" s="1"/>
  <c r="T13" i="2" s="1"/>
  <c r="U13" i="2" s="1"/>
  <c r="J15" i="2"/>
  <c r="K15" i="2"/>
  <c r="O15" i="2"/>
  <c r="M15" i="2"/>
  <c r="L15" i="2"/>
  <c r="H16" i="2"/>
  <c r="N16" i="2" s="1"/>
  <c r="I16" i="2"/>
  <c r="G5" i="5" s="1"/>
  <c r="P14" i="2"/>
  <c r="Q14" i="2" s="1"/>
  <c r="E17" i="2"/>
  <c r="G17" i="2" s="1"/>
  <c r="F16" i="2"/>
  <c r="G4" i="5" l="1"/>
  <c r="H17" i="2"/>
  <c r="I17" i="2"/>
  <c r="R14" i="2"/>
  <c r="S14" i="2" s="1"/>
  <c r="T14" i="2" s="1"/>
  <c r="U14" i="2" s="1"/>
  <c r="J16" i="2"/>
  <c r="O16" i="2"/>
  <c r="M16" i="2"/>
  <c r="L16" i="2"/>
  <c r="K16" i="2"/>
  <c r="P15" i="2"/>
  <c r="Q15" i="2" s="1"/>
  <c r="F17" i="2"/>
  <c r="E18" i="2"/>
  <c r="G18" i="2" s="1"/>
  <c r="N17" i="2" l="1"/>
  <c r="J17" i="2"/>
  <c r="G10" i="5"/>
  <c r="G6" i="5"/>
  <c r="G7" i="5"/>
  <c r="G8" i="5"/>
  <c r="G11" i="5"/>
  <c r="G9" i="5"/>
  <c r="R15" i="2"/>
  <c r="S15" i="2" s="1"/>
  <c r="T15" i="2" s="1"/>
  <c r="U15" i="2" s="1"/>
  <c r="H18" i="2"/>
  <c r="N18" i="2" s="1"/>
  <c r="I18" i="2"/>
  <c r="P16" i="2"/>
  <c r="Q16" i="2" s="1"/>
  <c r="O17" i="2"/>
  <c r="M17" i="2"/>
  <c r="L17" i="2"/>
  <c r="K17" i="2"/>
  <c r="E19" i="2"/>
  <c r="G19" i="2" s="1"/>
  <c r="F18" i="2"/>
  <c r="P17" i="2" l="1"/>
  <c r="Q17" i="2" s="1"/>
  <c r="G12" i="5"/>
  <c r="R16" i="2"/>
  <c r="R17" i="2"/>
  <c r="S17" i="2" s="1"/>
  <c r="T17" i="2" s="1"/>
  <c r="U17" i="2" s="1"/>
  <c r="H19" i="2"/>
  <c r="N19" i="2" s="1"/>
  <c r="I19" i="2"/>
  <c r="J19" i="2" s="1"/>
  <c r="S16" i="2"/>
  <c r="T16" i="2" s="1"/>
  <c r="U16" i="2" s="1"/>
  <c r="J18" i="2"/>
  <c r="L18" i="2"/>
  <c r="K18" i="2"/>
  <c r="O18" i="2"/>
  <c r="M18" i="2"/>
  <c r="F19" i="2"/>
  <c r="E20" i="2"/>
  <c r="G20" i="2" s="1"/>
  <c r="H4" i="5" l="1"/>
  <c r="G13" i="5"/>
  <c r="G14" i="5"/>
  <c r="H5" i="5"/>
  <c r="P18" i="2"/>
  <c r="Q18" i="2" s="1"/>
  <c r="H20" i="2"/>
  <c r="I20" i="2"/>
  <c r="O19" i="2"/>
  <c r="M19" i="2"/>
  <c r="L19" i="2"/>
  <c r="K19" i="2"/>
  <c r="F20" i="2"/>
  <c r="E21" i="2"/>
  <c r="G21" i="2" s="1"/>
  <c r="N20" i="2" l="1"/>
  <c r="H7" i="5"/>
  <c r="H10" i="5"/>
  <c r="H11" i="5"/>
  <c r="H6" i="5"/>
  <c r="H8" i="5"/>
  <c r="H9" i="5"/>
  <c r="R18" i="2"/>
  <c r="S18" i="2" s="1"/>
  <c r="T18" i="2" s="1"/>
  <c r="U18" i="2" s="1"/>
  <c r="P19" i="2"/>
  <c r="Q19" i="2" s="1"/>
  <c r="H21" i="2"/>
  <c r="N21" i="2" s="1"/>
  <c r="I21" i="2"/>
  <c r="R19" i="2"/>
  <c r="S19" i="2" s="1"/>
  <c r="T19" i="2" s="1"/>
  <c r="U19" i="2" s="1"/>
  <c r="O20" i="2"/>
  <c r="M20" i="2"/>
  <c r="L20" i="2"/>
  <c r="K20" i="2"/>
  <c r="J20" i="2"/>
  <c r="E22" i="2"/>
  <c r="G22" i="2" s="1"/>
  <c r="F21" i="2"/>
  <c r="F22" i="2" s="1"/>
  <c r="P20" i="2" l="1"/>
  <c r="Q20" i="2" s="1"/>
  <c r="H12" i="5"/>
  <c r="H22" i="2"/>
  <c r="N22" i="2" s="1"/>
  <c r="I22" i="2"/>
  <c r="I5" i="5" s="1"/>
  <c r="R20" i="2"/>
  <c r="J21" i="2"/>
  <c r="O21" i="2"/>
  <c r="M21" i="2"/>
  <c r="L21" i="2"/>
  <c r="K21" i="2"/>
  <c r="P21" i="2" s="1"/>
  <c r="Q21" i="2" s="1"/>
  <c r="E23" i="2"/>
  <c r="G23" i="2" s="1"/>
  <c r="H13" i="5" l="1"/>
  <c r="H14" i="5"/>
  <c r="I4" i="5"/>
  <c r="H23" i="2"/>
  <c r="I23" i="2"/>
  <c r="R21" i="2"/>
  <c r="S20" i="2"/>
  <c r="T20" i="2" s="1"/>
  <c r="U20" i="2" s="1"/>
  <c r="O22" i="2"/>
  <c r="M22" i="2"/>
  <c r="L22" i="2"/>
  <c r="K22" i="2"/>
  <c r="J22" i="2"/>
  <c r="E24" i="2"/>
  <c r="G24" i="2" s="1"/>
  <c r="F23" i="2"/>
  <c r="F24" i="2" s="1"/>
  <c r="P22" i="2" l="1"/>
  <c r="Q22" i="2" s="1"/>
  <c r="N23" i="2"/>
  <c r="I11" i="5"/>
  <c r="I9" i="5"/>
  <c r="I8" i="5"/>
  <c r="I6" i="5"/>
  <c r="I10" i="5"/>
  <c r="I7" i="5"/>
  <c r="R22" i="2"/>
  <c r="S22" i="2" s="1"/>
  <c r="T22" i="2" s="1"/>
  <c r="U22" i="2" s="1"/>
  <c r="H24" i="2"/>
  <c r="N24" i="2" s="1"/>
  <c r="I24" i="2"/>
  <c r="J24" i="2" s="1"/>
  <c r="S21" i="2"/>
  <c r="T21" i="2"/>
  <c r="U21" i="2" s="1"/>
  <c r="J23" i="2"/>
  <c r="M23" i="2"/>
  <c r="L23" i="2"/>
  <c r="K23" i="2"/>
  <c r="O23" i="2"/>
  <c r="E25" i="2"/>
  <c r="G25" i="2" s="1"/>
  <c r="I12" i="5" l="1"/>
  <c r="H25" i="2"/>
  <c r="N25" i="2" s="1"/>
  <c r="I25" i="2"/>
  <c r="J25" i="2" s="1"/>
  <c r="P23" i="2"/>
  <c r="Q23" i="2" s="1"/>
  <c r="R23" i="2"/>
  <c r="S23" i="2" s="1"/>
  <c r="T23" i="2" s="1"/>
  <c r="U23" i="2" s="1"/>
  <c r="L24" i="2"/>
  <c r="O24" i="2"/>
  <c r="M24" i="2"/>
  <c r="K24" i="2"/>
  <c r="E26" i="2"/>
  <c r="G26" i="2" s="1"/>
  <c r="F25" i="2"/>
  <c r="J5" i="5" l="1"/>
  <c r="J4" i="5"/>
  <c r="I13" i="5"/>
  <c r="I14" i="5"/>
  <c r="P24" i="2"/>
  <c r="Q24" i="2" s="1"/>
  <c r="H26" i="2"/>
  <c r="I26" i="2"/>
  <c r="R24" i="2"/>
  <c r="S24" i="2" s="1"/>
  <c r="T24" i="2" s="1"/>
  <c r="U24" i="2" s="1"/>
  <c r="O25" i="2"/>
  <c r="M25" i="2"/>
  <c r="L25" i="2"/>
  <c r="K25" i="2"/>
  <c r="F26" i="2"/>
  <c r="E27" i="2"/>
  <c r="J11" i="5" l="1"/>
  <c r="J9" i="5"/>
  <c r="J7" i="5"/>
  <c r="J6" i="5"/>
  <c r="J8" i="5"/>
  <c r="J10" i="5"/>
  <c r="J26" i="2"/>
  <c r="N26" i="2"/>
  <c r="O26" i="2"/>
  <c r="P25" i="2"/>
  <c r="M26" i="2"/>
  <c r="L26" i="2"/>
  <c r="K26" i="2"/>
  <c r="F27" i="2"/>
  <c r="G27" i="2"/>
  <c r="E28" i="2"/>
  <c r="G28" i="2" s="1"/>
  <c r="F28" i="2" l="1"/>
  <c r="J12" i="5"/>
  <c r="H28" i="2"/>
  <c r="N28" i="2" s="1"/>
  <c r="I28" i="2"/>
  <c r="J28" i="2" s="1"/>
  <c r="H27" i="2"/>
  <c r="I27" i="2"/>
  <c r="P26" i="2"/>
  <c r="Q25" i="2"/>
  <c r="R25" i="2"/>
  <c r="S25" i="2" s="1"/>
  <c r="T25" i="2" s="1"/>
  <c r="U25" i="2" s="1"/>
  <c r="E29" i="2"/>
  <c r="G29" i="2" s="1"/>
  <c r="N27" i="2" l="1"/>
  <c r="K4" i="5"/>
  <c r="J27" i="2"/>
  <c r="K5" i="5"/>
  <c r="J13" i="5"/>
  <c r="J14" i="5"/>
  <c r="H29" i="2"/>
  <c r="I29" i="2"/>
  <c r="Q26" i="2"/>
  <c r="R26" i="2"/>
  <c r="S26" i="2" s="1"/>
  <c r="T26" i="2" s="1"/>
  <c r="U26" i="2" s="1"/>
  <c r="M27" i="2"/>
  <c r="O27" i="2"/>
  <c r="K27" i="2"/>
  <c r="P27" i="2" s="1"/>
  <c r="Q27" i="2" s="1"/>
  <c r="L27" i="2"/>
  <c r="O28" i="2"/>
  <c r="M28" i="2"/>
  <c r="L28" i="2"/>
  <c r="K28" i="2"/>
  <c r="E30" i="2"/>
  <c r="G30" i="2" s="1"/>
  <c r="F29" i="2"/>
  <c r="F30" i="2" s="1"/>
  <c r="N29" i="2" l="1"/>
  <c r="K11" i="5"/>
  <c r="K7" i="5"/>
  <c r="K10" i="5"/>
  <c r="K9" i="5"/>
  <c r="K8" i="5"/>
  <c r="K6" i="5"/>
  <c r="K12" i="5" s="1"/>
  <c r="P28" i="2"/>
  <c r="Q28" i="2" s="1"/>
  <c r="R27" i="2"/>
  <c r="S27" i="2" s="1"/>
  <c r="T27" i="2" s="1"/>
  <c r="U27" i="2" s="1"/>
  <c r="H30" i="2"/>
  <c r="N30" i="2" s="1"/>
  <c r="I30" i="2"/>
  <c r="M29" i="2"/>
  <c r="L29" i="2"/>
  <c r="O29" i="2"/>
  <c r="K29" i="2"/>
  <c r="P29" i="2" s="1"/>
  <c r="Q29" i="2" s="1"/>
  <c r="J29" i="2"/>
  <c r="E31" i="2"/>
  <c r="G31" i="2" s="1"/>
  <c r="K13" i="5" l="1"/>
  <c r="K14" i="5" s="1"/>
  <c r="R28" i="2"/>
  <c r="S28" i="2" s="1"/>
  <c r="T28" i="2" s="1"/>
  <c r="U28" i="2" s="1"/>
  <c r="L4" i="5"/>
  <c r="H31" i="2"/>
  <c r="N31" i="2" s="1"/>
  <c r="I31" i="2"/>
  <c r="L5" i="5" s="1"/>
  <c r="R29" i="2"/>
  <c r="S29" i="2" s="1"/>
  <c r="T29" i="2" s="1"/>
  <c r="U29" i="2" s="1"/>
  <c r="L30" i="2"/>
  <c r="O30" i="2"/>
  <c r="M30" i="2"/>
  <c r="K30" i="2"/>
  <c r="J30" i="2"/>
  <c r="E32" i="2"/>
  <c r="G32" i="2" s="1"/>
  <c r="F31" i="2"/>
  <c r="L11" i="5" l="1"/>
  <c r="L10" i="5"/>
  <c r="L9" i="5"/>
  <c r="L8" i="5"/>
  <c r="L6" i="5"/>
  <c r="L7" i="5"/>
  <c r="P30" i="2"/>
  <c r="Q30" i="2" s="1"/>
  <c r="R30" i="2"/>
  <c r="S30" i="2" s="1"/>
  <c r="T30" i="2" s="1"/>
  <c r="U30" i="2" s="1"/>
  <c r="H32" i="2"/>
  <c r="I32" i="2"/>
  <c r="O31" i="2"/>
  <c r="M31" i="2"/>
  <c r="L31" i="2"/>
  <c r="K31" i="2"/>
  <c r="J31" i="2"/>
  <c r="F32" i="2"/>
  <c r="E33" i="2"/>
  <c r="N32" i="2" l="1"/>
  <c r="L12" i="5"/>
  <c r="L13" i="5" s="1"/>
  <c r="L14" i="5" s="1"/>
  <c r="P31" i="2"/>
  <c r="Q31" i="2" s="1"/>
  <c r="L32" i="2"/>
  <c r="M32" i="2"/>
  <c r="K32" i="2"/>
  <c r="J32" i="2"/>
  <c r="O32" i="2"/>
  <c r="F33" i="2"/>
  <c r="G33" i="2"/>
  <c r="E34" i="2"/>
  <c r="G34" i="2" s="1"/>
  <c r="H34" i="2" l="1"/>
  <c r="N34" i="2" s="1"/>
  <c r="I34" i="2"/>
  <c r="H33" i="2"/>
  <c r="I33" i="2"/>
  <c r="M5" i="5" s="1"/>
  <c r="P32" i="2"/>
  <c r="Q32" i="2" s="1"/>
  <c r="R31" i="2"/>
  <c r="S31" i="2" s="1"/>
  <c r="T31" i="2" s="1"/>
  <c r="U31" i="2" s="1"/>
  <c r="E35" i="2"/>
  <c r="G35" i="2" s="1"/>
  <c r="F34" i="2"/>
  <c r="F35" i="2" s="1"/>
  <c r="N33" i="2" l="1"/>
  <c r="M4" i="5"/>
  <c r="J34" i="2"/>
  <c r="O33" i="2"/>
  <c r="M33" i="2"/>
  <c r="L33" i="2"/>
  <c r="K33" i="2"/>
  <c r="P33" i="2" s="1"/>
  <c r="Q33" i="2" s="1"/>
  <c r="H35" i="2"/>
  <c r="I35" i="2"/>
  <c r="R32" i="2"/>
  <c r="S32" i="2" s="1"/>
  <c r="T32" i="2" s="1"/>
  <c r="U32" i="2" s="1"/>
  <c r="J33" i="2"/>
  <c r="R33" i="2" s="1"/>
  <c r="S33" i="2" s="1"/>
  <c r="T33" i="2" s="1"/>
  <c r="U33" i="2" s="1"/>
  <c r="O34" i="2"/>
  <c r="M34" i="2"/>
  <c r="L34" i="2"/>
  <c r="K34" i="2"/>
  <c r="E36" i="2"/>
  <c r="G36" i="2" s="1"/>
  <c r="P34" i="2" l="1"/>
  <c r="Q34" i="2" s="1"/>
  <c r="M8" i="5"/>
  <c r="M11" i="5"/>
  <c r="M10" i="5"/>
  <c r="M7" i="5"/>
  <c r="M6" i="5"/>
  <c r="M9" i="5"/>
  <c r="N35" i="2"/>
  <c r="H36" i="2"/>
  <c r="N36" i="2" s="1"/>
  <c r="I36" i="2"/>
  <c r="R34" i="2"/>
  <c r="S34" i="2" s="1"/>
  <c r="T34" i="2" s="1"/>
  <c r="U34" i="2" s="1"/>
  <c r="L35" i="2"/>
  <c r="K35" i="2"/>
  <c r="J35" i="2"/>
  <c r="M35" i="2"/>
  <c r="O35" i="2"/>
  <c r="E37" i="2"/>
  <c r="G37" i="2" s="1"/>
  <c r="F36" i="2"/>
  <c r="M12" i="5" l="1"/>
  <c r="F37" i="2"/>
  <c r="H37" i="2"/>
  <c r="I37" i="2"/>
  <c r="N5" i="5" s="1"/>
  <c r="P35" i="2"/>
  <c r="Q35" i="2" s="1"/>
  <c r="O36" i="2"/>
  <c r="M36" i="2"/>
  <c r="J36" i="2"/>
  <c r="L36" i="2"/>
  <c r="K36" i="2"/>
  <c r="E38" i="2"/>
  <c r="G38" i="2" s="1"/>
  <c r="M13" i="5" l="1"/>
  <c r="M14" i="5"/>
  <c r="N37" i="2"/>
  <c r="N4" i="5"/>
  <c r="P36" i="2"/>
  <c r="Q36" i="2" s="1"/>
  <c r="H38" i="2"/>
  <c r="N38" i="2" s="1"/>
  <c r="I38" i="2"/>
  <c r="J38" i="2" s="1"/>
  <c r="R36" i="2"/>
  <c r="S36" i="2" s="1"/>
  <c r="T36" i="2" s="1"/>
  <c r="U36" i="2" s="1"/>
  <c r="R35" i="2"/>
  <c r="S35" i="2" s="1"/>
  <c r="T35" i="2" s="1"/>
  <c r="U35" i="2" s="1"/>
  <c r="O37" i="2"/>
  <c r="M37" i="2"/>
  <c r="L37" i="2"/>
  <c r="K37" i="2"/>
  <c r="P37" i="2" s="1"/>
  <c r="Q37" i="2" s="1"/>
  <c r="J37" i="2"/>
  <c r="F38" i="2"/>
  <c r="N9" i="5" l="1"/>
  <c r="N10" i="5"/>
  <c r="N6" i="5"/>
  <c r="N11" i="5"/>
  <c r="N7" i="5"/>
  <c r="N8" i="5"/>
  <c r="R37" i="2"/>
  <c r="S37" i="2" s="1"/>
  <c r="T37" i="2" s="1"/>
  <c r="U37" i="2" s="1"/>
  <c r="K38" i="2"/>
  <c r="O38" i="2"/>
  <c r="M38" i="2"/>
  <c r="L38" i="2"/>
  <c r="N12" i="5" l="1"/>
  <c r="P38" i="2"/>
  <c r="N13" i="5" l="1"/>
  <c r="N14" i="5"/>
  <c r="Q38" i="2"/>
  <c r="R38" i="2"/>
  <c r="S38" i="2" s="1"/>
  <c r="T38" i="2" s="1"/>
  <c r="U38" i="2" s="1"/>
</calcChain>
</file>

<file path=xl/sharedStrings.xml><?xml version="1.0" encoding="utf-8"?>
<sst xmlns="http://schemas.openxmlformats.org/spreadsheetml/2006/main" count="940" uniqueCount="313">
  <si>
    <t>Vista resumida para Directorio</t>
  </si>
  <si>
    <t>Concepto</t>
  </si>
  <si>
    <t>% Venta</t>
  </si>
  <si>
    <t>Ventas Netas</t>
  </si>
  <si>
    <t>Costo Mercadería Vendida</t>
  </si>
  <si>
    <t>Margen Bruto</t>
  </si>
  <si>
    <t>Logística</t>
  </si>
  <si>
    <t>Administración</t>
  </si>
  <si>
    <t>Marketing</t>
  </si>
  <si>
    <t>Comercial</t>
  </si>
  <si>
    <t>Costos Financieros</t>
  </si>
  <si>
    <t>Resultado antes de impuestos</t>
  </si>
  <si>
    <t>IRAE</t>
  </si>
  <si>
    <t>Resultado Neto</t>
  </si>
  <si>
    <t>Estado de Resultados</t>
  </si>
  <si>
    <t>Inventario Inicial</t>
  </si>
  <si>
    <t>+ Compras</t>
  </si>
  <si>
    <t>- Inventario Final</t>
  </si>
  <si>
    <t>Resultado Bruto</t>
  </si>
  <si>
    <t>Logística Operativa</t>
  </si>
  <si>
    <t>Recepción de mercadería</t>
  </si>
  <si>
    <t>Almacenamiento</t>
  </si>
  <si>
    <t>Picking y packing</t>
  </si>
  <si>
    <t>Movimientos internos</t>
  </si>
  <si>
    <t>Gestión logística</t>
  </si>
  <si>
    <t>Mermas e inventario</t>
  </si>
  <si>
    <t>Total Logística</t>
  </si>
  <si>
    <t>Facturación electrónica</t>
  </si>
  <si>
    <t>Sistemas</t>
  </si>
  <si>
    <t>Contabilidad y liquidaciones</t>
  </si>
  <si>
    <t>Bancarios administrativos</t>
  </si>
  <si>
    <t>Total Administración</t>
  </si>
  <si>
    <t>Publicidad RRSS</t>
  </si>
  <si>
    <t>Promociones y descuentos</t>
  </si>
  <si>
    <t>Fletes promocionales</t>
  </si>
  <si>
    <t>Total Marketing</t>
  </si>
  <si>
    <t>Gestión comercial y ventas</t>
  </si>
  <si>
    <t>Administración comercial</t>
  </si>
  <si>
    <t>Atención al cliente</t>
  </si>
  <si>
    <t>Total Comercial</t>
  </si>
  <si>
    <t>Medios de pago</t>
  </si>
  <si>
    <t>Intereses</t>
  </si>
  <si>
    <t>Total Costos Financieros</t>
  </si>
  <si>
    <t>EBITDA</t>
  </si>
  <si>
    <t>Depreciaciones y amortizaciones</t>
  </si>
  <si>
    <t>EBIT</t>
  </si>
  <si>
    <t>IRAE (25% sobre utilidad fiscal)</t>
  </si>
  <si>
    <t>Costo de Mercaderías Vendidas (CMV)</t>
  </si>
  <si>
    <t>1990/91</t>
  </si>
  <si>
    <t>Algeria</t>
  </si>
  <si>
    <t>Argentina</t>
  </si>
  <si>
    <t>Australia</t>
  </si>
  <si>
    <t>Brazil</t>
  </si>
  <si>
    <t>Canada</t>
  </si>
  <si>
    <t>Chile</t>
  </si>
  <si>
    <t>Cyprus</t>
  </si>
  <si>
    <t>Egypt</t>
  </si>
  <si>
    <t>EU</t>
  </si>
  <si>
    <t>France</t>
  </si>
  <si>
    <t>Greece</t>
  </si>
  <si>
    <t>Iran</t>
  </si>
  <si>
    <t>Iraq</t>
  </si>
  <si>
    <t>Israel</t>
  </si>
  <si>
    <t>Italy</t>
  </si>
  <si>
    <t>Japan</t>
  </si>
  <si>
    <t>Jordan</t>
  </si>
  <si>
    <t>Lebanon</t>
  </si>
  <si>
    <t>Libya</t>
  </si>
  <si>
    <t>Mexico</t>
  </si>
  <si>
    <t>Montenegro</t>
  </si>
  <si>
    <t>Morocco</t>
  </si>
  <si>
    <t>Oth.non-prod.</t>
  </si>
  <si>
    <t>Other pr.coun.</t>
  </si>
  <si>
    <t>Portugal</t>
  </si>
  <si>
    <t>Russia</t>
  </si>
  <si>
    <t>Saudi Arabia</t>
  </si>
  <si>
    <t>Spain</t>
  </si>
  <si>
    <t>Switzerland</t>
  </si>
  <si>
    <t>Syria</t>
  </si>
  <si>
    <t>Tunisia</t>
  </si>
  <si>
    <t>Türkiye</t>
  </si>
  <si>
    <t>USA</t>
  </si>
  <si>
    <t>1991/92</t>
  </si>
  <si>
    <t>1992/93</t>
  </si>
  <si>
    <t>Palestine</t>
  </si>
  <si>
    <t>1993/94</t>
  </si>
  <si>
    <t>1994/95</t>
  </si>
  <si>
    <t>1995/96</t>
  </si>
  <si>
    <t>1996/97</t>
  </si>
  <si>
    <t>1997/98</t>
  </si>
  <si>
    <t>Croatia</t>
  </si>
  <si>
    <t>Taiwan</t>
  </si>
  <si>
    <t>Malta</t>
  </si>
  <si>
    <t>Slovenia</t>
  </si>
  <si>
    <t>2008/9</t>
  </si>
  <si>
    <t>Albania</t>
  </si>
  <si>
    <t>China</t>
  </si>
  <si>
    <t>Norway</t>
  </si>
  <si>
    <t>2009/10</t>
  </si>
  <si>
    <t>2010/11</t>
  </si>
  <si>
    <t>2011/12</t>
  </si>
  <si>
    <t>2012/13</t>
  </si>
  <si>
    <t>2013/14</t>
  </si>
  <si>
    <t>Uruguay</t>
  </si>
  <si>
    <t>2014/15</t>
  </si>
  <si>
    <t>2015/16</t>
  </si>
  <si>
    <t>2016/17</t>
  </si>
  <si>
    <t>2017/18</t>
  </si>
  <si>
    <t>2018/19</t>
  </si>
  <si>
    <t>Georgia</t>
  </si>
  <si>
    <t>Ouzbékistan</t>
  </si>
  <si>
    <t>Uzbekistan</t>
  </si>
  <si>
    <t>2019/20</t>
  </si>
  <si>
    <t>2020/21</t>
  </si>
  <si>
    <t>2021/22</t>
  </si>
  <si>
    <t>2022/23</t>
  </si>
  <si>
    <t>Azerbaïdjan</t>
  </si>
  <si>
    <t>Bosnie-Herzégovine</t>
  </si>
  <si>
    <t>2023/24</t>
  </si>
  <si>
    <t>2024/25</t>
  </si>
  <si>
    <t xml:space="preserve">                     CONSEIL  OLÉICOLE  INTERNATIONAL     (NOV 2025)</t>
  </si>
  <si>
    <t xml:space="preserve">                     INTERNATIONAL  OLIVE  COUNCIL    (NOV 2025)</t>
  </si>
  <si>
    <t>HUILES D'OLIVE  -  OLIVE  OILS</t>
  </si>
  <si>
    <t>Tableau 1:  PRODUCTION  (1.000 tm)  -   Table  1:  PRODUCTION  (1,000 tonnes)</t>
  </si>
  <si>
    <t>1998/9</t>
  </si>
  <si>
    <t>1999/0</t>
  </si>
  <si>
    <t>2000/1</t>
  </si>
  <si>
    <t>2001/2</t>
  </si>
  <si>
    <t>2002/3</t>
  </si>
  <si>
    <t>2003/4</t>
  </si>
  <si>
    <t>2004/5</t>
  </si>
  <si>
    <t>2005/6</t>
  </si>
  <si>
    <t>2006/7</t>
  </si>
  <si>
    <t>2007/8</t>
  </si>
  <si>
    <t>2025/26</t>
  </si>
  <si>
    <t xml:space="preserve"> </t>
  </si>
  <si>
    <t>(prov.)</t>
  </si>
  <si>
    <t>(prev.)</t>
  </si>
  <si>
    <t xml:space="preserve">             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</si>
  <si>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</si>
  <si>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</si>
  <si>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</si>
  <si>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</si>
  <si>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</si>
  <si>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</si>
  <si>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</si>
  <si>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</si>
  <si>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</si>
  <si>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</si>
  <si>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</si>
  <si>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</si>
  <si>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</si>
  <si>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</si>
  <si>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</si>
  <si>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</si>
  <si>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</si>
  <si>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</si>
  <si>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</si>
  <si>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</si>
  <si>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</si>
  <si>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</si>
  <si>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</si>
  <si>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</si>
  <si>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</si>
  <si>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</si>
  <si>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</si>
  <si>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</si>
  <si>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</si>
  <si>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</si>
  <si>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</si>
  <si>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</si>
  <si>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</si>
  <si>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</si>
  <si>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</si>
  <si>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Chypre</t>
  </si>
  <si>
    <t>Croatie</t>
  </si>
  <si>
    <t>Espagne</t>
  </si>
  <si>
    <t xml:space="preserve">France </t>
  </si>
  <si>
    <t xml:space="preserve">Grèce </t>
  </si>
  <si>
    <t>Italie</t>
  </si>
  <si>
    <t>Malte</t>
  </si>
  <si>
    <t xml:space="preserve">Portugal </t>
  </si>
  <si>
    <t>Slovénie</t>
  </si>
  <si>
    <t>Albanie</t>
  </si>
  <si>
    <t>Algérie</t>
  </si>
  <si>
    <t>A. Saoudite</t>
  </si>
  <si>
    <t>Argentine</t>
  </si>
  <si>
    <t>Azerbaijan</t>
  </si>
  <si>
    <t>Bosnia and Herzegovine</t>
  </si>
  <si>
    <t>Egypte</t>
  </si>
  <si>
    <t>Géorgie</t>
  </si>
  <si>
    <t>Irak</t>
  </si>
  <si>
    <t>Israël</t>
  </si>
  <si>
    <t>Jordanie</t>
  </si>
  <si>
    <t>Liban</t>
  </si>
  <si>
    <t>Libye</t>
  </si>
  <si>
    <t>Maroc</t>
  </si>
  <si>
    <t>Tunisie</t>
  </si>
  <si>
    <t>Turquie</t>
  </si>
  <si>
    <t>UE</t>
  </si>
  <si>
    <t>TOTAL  A</t>
  </si>
  <si>
    <t>Australie</t>
  </si>
  <si>
    <t>Brésil</t>
  </si>
  <si>
    <t>Chili</t>
  </si>
  <si>
    <t>Etats-Unis</t>
  </si>
  <si>
    <t>Japon</t>
  </si>
  <si>
    <t>Mexique</t>
  </si>
  <si>
    <t>Norvège</t>
  </si>
  <si>
    <t>Russie</t>
  </si>
  <si>
    <t>Syrie</t>
  </si>
  <si>
    <t>Suisse</t>
  </si>
  <si>
    <t>Taïwan</t>
  </si>
  <si>
    <t>Autres P.prod.</t>
  </si>
  <si>
    <t>Autr.P.un.imp.</t>
  </si>
  <si>
    <t>TOTAL B</t>
  </si>
  <si>
    <t>TOTAL MONDIAL WORLD</t>
  </si>
  <si>
    <t>Estimation du COI basée sur les chiffres communiqués par les pays et/ou d'autres sources.</t>
  </si>
  <si>
    <t>IOC estimate based on figures reported by countries and/or other sources.</t>
  </si>
  <si>
    <t>Chiffre officiel communiqué par le pays membre.</t>
  </si>
  <si>
    <t>Official figure reported by the
member country.</t>
  </si>
  <si>
    <t>Estimations et chiffres officiels.</t>
  </si>
  <si>
    <t>Estimates and official figures.</t>
  </si>
  <si>
    <t>Tableau 2:  IMPORTATIONS  (1.000 tm)  -  Table 2:  IMPORTS   (1,000 tonnes)</t>
  </si>
  <si>
    <t>Azerbaïdjan (Q)</t>
  </si>
  <si>
    <t>UE *</t>
  </si>
  <si>
    <t>EU *</t>
  </si>
  <si>
    <t>.</t>
  </si>
  <si>
    <t>TOTAL  B</t>
  </si>
  <si>
    <r>
      <t>*</t>
    </r>
    <r>
      <rPr>
        <sz val="12"/>
        <rFont val="Helv"/>
      </rPr>
      <t xml:space="preserve">   </t>
    </r>
    <r>
      <rPr>
        <sz val="12"/>
        <rFont val="Arial"/>
        <family val="2"/>
      </rPr>
      <t>sans les échanges intracommunautaires  -   without intra-Community trade</t>
    </r>
    <r>
      <rPr>
        <sz val="12"/>
        <rFont val="Helv"/>
      </rPr>
      <t xml:space="preserve">. </t>
    </r>
  </si>
  <si>
    <t>Tableau 3:  EXPORTATIONS  (1.000 tm)  -  Cuadro 3:  EXPORTS  (1,000 tonnes)</t>
  </si>
  <si>
    <t>UE  *</t>
  </si>
  <si>
    <t>EU  *</t>
  </si>
  <si>
    <t>TOTAL A</t>
  </si>
  <si>
    <t xml:space="preserve"> TOTAL B</t>
  </si>
  <si>
    <t xml:space="preserve">                     INTERNATIONAL  OLIVE COUNCIL    (NOV 2025)</t>
  </si>
  <si>
    <t>Tableau 4: CONSOMMATION  (1.000 tm)  -  Table 4:  CONSUMPTION  (1,000 tonnes)</t>
  </si>
  <si>
    <t>CONSEIL  OLÉICOLE  INTERNATIONAL     (NOV 2025)</t>
  </si>
  <si>
    <t>INTERNATIONAL  OLIVE COUNCIL    (NOV 2025)</t>
  </si>
  <si>
    <t>Produccion</t>
  </si>
  <si>
    <t>Importación</t>
  </si>
  <si>
    <t>Exportación</t>
  </si>
  <si>
    <t>Consumo</t>
  </si>
  <si>
    <t>Valores &amp; Variables</t>
  </si>
  <si>
    <t>Tonelada</t>
  </si>
  <si>
    <t>litros</t>
  </si>
  <si>
    <t>Unidad: kt</t>
  </si>
  <si>
    <t>T</t>
  </si>
  <si>
    <t>Lts.</t>
  </si>
  <si>
    <t>kt</t>
  </si>
  <si>
    <t>Unidad</t>
  </si>
  <si>
    <t>Meses</t>
  </si>
  <si>
    <t>TAM</t>
  </si>
  <si>
    <t>SAM</t>
  </si>
  <si>
    <t>SOM</t>
  </si>
  <si>
    <t>Litros</t>
  </si>
  <si>
    <t>Bid. X 5</t>
  </si>
  <si>
    <t>Mercado total posible</t>
  </si>
  <si>
    <t>Mercado disponible</t>
  </si>
  <si>
    <t>Total Addressable Market</t>
  </si>
  <si>
    <t>Serviceable Available Market</t>
  </si>
  <si>
    <t>Serviceable Obtainable Market</t>
  </si>
  <si>
    <t>Mercado objetivo</t>
  </si>
  <si>
    <t>Año</t>
  </si>
  <si>
    <t>Mes</t>
  </si>
  <si>
    <t>Jun</t>
  </si>
  <si>
    <t>Jul</t>
  </si>
  <si>
    <t>Ago</t>
  </si>
  <si>
    <t>Set</t>
  </si>
  <si>
    <t>Oct</t>
  </si>
  <si>
    <t>Nov</t>
  </si>
  <si>
    <t>Dic</t>
  </si>
  <si>
    <t>Ene</t>
  </si>
  <si>
    <t>Feb</t>
  </si>
  <si>
    <t>Mar</t>
  </si>
  <si>
    <t>Abr</t>
  </si>
  <si>
    <t>May</t>
  </si>
  <si>
    <t>Vtas. Netas</t>
  </si>
  <si>
    <t>CMV</t>
  </si>
  <si>
    <t>Res. Bruto</t>
  </si>
  <si>
    <t>Admin.</t>
  </si>
  <si>
    <t>Mktg</t>
  </si>
  <si>
    <t>Financiero</t>
  </si>
  <si>
    <t>Lts / Mes</t>
  </si>
  <si>
    <t>Lts. Ac.</t>
  </si>
  <si>
    <t>B5  / Mes</t>
  </si>
  <si>
    <t>MES</t>
  </si>
  <si>
    <t>C. Mensual</t>
  </si>
  <si>
    <t>PVP</t>
  </si>
  <si>
    <t xml:space="preserve">Cto. 1 </t>
  </si>
  <si>
    <t>Cto. 2</t>
  </si>
  <si>
    <t>Imp. INC</t>
  </si>
  <si>
    <t>IVA</t>
  </si>
  <si>
    <t>S / imp</t>
  </si>
  <si>
    <t>COT</t>
  </si>
  <si>
    <t>Res. Neto</t>
  </si>
  <si>
    <t>% Venta Neta</t>
  </si>
  <si>
    <t>% COT</t>
  </si>
  <si>
    <t>Julio</t>
  </si>
  <si>
    <t>Agosto</t>
  </si>
  <si>
    <t>Setiembre</t>
  </si>
  <si>
    <t>Octubre</t>
  </si>
  <si>
    <t>Noviembre</t>
  </si>
  <si>
    <t>Diciembre</t>
  </si>
  <si>
    <t>Enero</t>
  </si>
  <si>
    <t>Febrero</t>
  </si>
  <si>
    <t>Marzo</t>
  </si>
  <si>
    <t xml:space="preserve">Abril </t>
  </si>
  <si>
    <t>Mayo</t>
  </si>
  <si>
    <t>Junio</t>
  </si>
  <si>
    <t>Q3</t>
  </si>
  <si>
    <t>Q4</t>
  </si>
  <si>
    <t>Q1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</si>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</sst>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#,##0.0_);\(#,##0.0\)"/>
    <numFmt numFmtId="169" formatCode="0.0%"/>
    <numFmt numFmtId="170" formatCode="0_)"/>
    <numFmt numFmtId="173" formatCode="&quot;$&quot;\ #,##0"/>
  </numFmts>
  <fonts count="3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Helv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color indexed="12"/>
      <name val="Arial"/>
      <family val="2"/>
    </font>
    <font>
      <b/>
      <sz val="11"/>
      <color indexed="12"/>
      <name val="Arial"/>
      <family val="2"/>
    </font>
    <font>
      <sz val="13"/>
      <name val="Arial"/>
      <family val="2"/>
    </font>
    <font>
      <b/>
      <sz val="18"/>
      <color indexed="12"/>
      <name val="Arial"/>
      <family val="2"/>
    </font>
    <font>
      <b/>
      <sz val="12"/>
      <name val="Arial"/>
      <family val="2"/>
    </font>
    <font>
      <b/>
      <sz val="14"/>
      <color indexed="18"/>
      <name val="Arial"/>
      <family val="2"/>
    </font>
    <font>
      <sz val="14"/>
      <color indexed="18"/>
      <name val="Arial"/>
      <family val="2"/>
    </font>
    <font>
      <sz val="14"/>
      <color indexed="18"/>
      <name val="Helv"/>
    </font>
    <font>
      <b/>
      <sz val="12"/>
      <color indexed="18"/>
      <name val="Arial"/>
      <family val="2"/>
    </font>
    <font>
      <b/>
      <sz val="10"/>
      <color indexed="18"/>
      <name val="Arial"/>
      <family val="2"/>
    </font>
    <font>
      <sz val="10"/>
      <name val="Arial"/>
      <family val="2"/>
    </font>
    <font>
      <sz val="12"/>
      <color indexed="18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12"/>
      <color indexed="10"/>
      <name val="Arial Narrow"/>
      <family val="2"/>
    </font>
    <font>
      <b/>
      <sz val="12"/>
      <color indexed="18"/>
      <name val="Helv"/>
    </font>
    <font>
      <b/>
      <sz val="12"/>
      <color theme="3" tint="-0.249977111117893"/>
      <name val="Arial"/>
      <family val="2"/>
    </font>
    <font>
      <b/>
      <i/>
      <u/>
      <sz val="12"/>
      <name val="Arial"/>
      <family val="2"/>
    </font>
    <font>
      <b/>
      <sz val="12"/>
      <color rgb="FF002060"/>
      <name val="Arial"/>
      <family val="2"/>
    </font>
    <font>
      <i/>
      <sz val="12"/>
      <name val="Arial"/>
      <family val="2"/>
    </font>
    <font>
      <b/>
      <sz val="13"/>
      <name val="Arial"/>
      <family val="2"/>
    </font>
    <font>
      <b/>
      <i/>
      <sz val="12"/>
      <name val="Arial"/>
      <family val="2"/>
    </font>
    <font>
      <sz val="12"/>
      <color rgb="FF002060"/>
      <name val="Helv"/>
    </font>
    <font>
      <b/>
      <i/>
      <sz val="12"/>
      <color indexed="18"/>
      <name val="Arial"/>
      <family val="2"/>
    </font>
    <font>
      <b/>
      <sz val="13"/>
      <color indexed="12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gray125">
        <fgColor indexed="8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/>
      <right style="double">
        <color indexed="8"/>
      </right>
      <top/>
      <bottom/>
      <diagonal/>
    </border>
    <border>
      <left style="double">
        <color indexed="8"/>
      </left>
      <right/>
      <top/>
      <bottom/>
      <diagonal/>
    </border>
    <border>
      <left/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 style="medium">
        <color indexed="64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8" fontId="3" fillId="0" borderId="0"/>
  </cellStyleXfs>
  <cellXfs count="36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168" fontId="4" fillId="2" borderId="0" xfId="1" applyFont="1" applyFill="1"/>
    <xf numFmtId="168" fontId="4" fillId="2" borderId="0" xfId="1" applyFont="1" applyFill="1" applyAlignment="1">
      <alignment horizontal="left"/>
    </xf>
    <xf numFmtId="168" fontId="5" fillId="2" borderId="0" xfId="1" applyFont="1" applyFill="1" applyAlignment="1">
      <alignment horizontal="center"/>
    </xf>
    <xf numFmtId="168" fontId="4" fillId="2" borderId="0" xfId="1" applyFont="1" applyFill="1" applyAlignment="1">
      <alignment horizontal="right"/>
    </xf>
    <xf numFmtId="168" fontId="4" fillId="2" borderId="0" xfId="1" applyFont="1" applyFill="1" applyAlignment="1">
      <alignment horizontal="center"/>
    </xf>
    <xf numFmtId="168" fontId="3" fillId="2" borderId="0" xfId="1" applyFill="1"/>
    <xf numFmtId="168" fontId="6" fillId="2" borderId="0" xfId="1" applyFont="1" applyFill="1" applyAlignment="1">
      <alignment horizontal="left"/>
    </xf>
    <xf numFmtId="168" fontId="7" fillId="2" borderId="0" xfId="1" applyFont="1" applyFill="1" applyAlignment="1">
      <alignment horizontal="left"/>
    </xf>
    <xf numFmtId="168" fontId="8" fillId="2" borderId="0" xfId="1" applyFont="1" applyFill="1" applyAlignment="1">
      <alignment horizontal="left"/>
    </xf>
    <xf numFmtId="168" fontId="9" fillId="2" borderId="0" xfId="1" applyFont="1" applyFill="1" applyAlignment="1">
      <alignment horizontal="left"/>
    </xf>
    <xf numFmtId="168" fontId="9" fillId="2" borderId="0" xfId="1" applyFont="1" applyFill="1" applyAlignment="1">
      <alignment horizontal="center"/>
    </xf>
    <xf numFmtId="168" fontId="10" fillId="2" borderId="0" xfId="1" applyFont="1" applyFill="1" applyAlignment="1">
      <alignment horizontal="left"/>
    </xf>
    <xf numFmtId="168" fontId="10" fillId="2" borderId="0" xfId="1" applyFont="1" applyFill="1"/>
    <xf numFmtId="168" fontId="11" fillId="2" borderId="0" xfId="1" applyFont="1" applyFill="1"/>
    <xf numFmtId="168" fontId="11" fillId="2" borderId="0" xfId="1" applyFont="1" applyFill="1" applyAlignment="1">
      <alignment horizontal="left"/>
    </xf>
    <xf numFmtId="168" fontId="12" fillId="2" borderId="0" xfId="1" applyFont="1" applyFill="1"/>
    <xf numFmtId="168" fontId="12" fillId="2" borderId="0" xfId="1" applyFont="1" applyFill="1" applyAlignment="1">
      <alignment horizontal="right"/>
    </xf>
    <xf numFmtId="168" fontId="13" fillId="2" borderId="0" xfId="1" applyFont="1" applyFill="1"/>
    <xf numFmtId="168" fontId="4" fillId="2" borderId="1" xfId="1" applyFont="1" applyFill="1" applyBorder="1" applyAlignment="1">
      <alignment horizontal="center"/>
    </xf>
    <xf numFmtId="168" fontId="4" fillId="2" borderId="2" xfId="1" applyFont="1" applyFill="1" applyBorder="1" applyAlignment="1">
      <alignment horizontal="center"/>
    </xf>
    <xf numFmtId="168" fontId="14" fillId="2" borderId="1" xfId="1" applyFont="1" applyFill="1" applyBorder="1"/>
    <xf numFmtId="168" fontId="14" fillId="2" borderId="3" xfId="1" applyFont="1" applyFill="1" applyBorder="1"/>
    <xf numFmtId="168" fontId="14" fillId="2" borderId="3" xfId="1" applyFont="1" applyFill="1" applyBorder="1" applyAlignment="1">
      <alignment horizontal="right"/>
    </xf>
    <xf numFmtId="168" fontId="14" fillId="2" borderId="3" xfId="1" applyFont="1" applyFill="1" applyBorder="1" applyAlignment="1">
      <alignment horizontal="center"/>
    </xf>
    <xf numFmtId="168" fontId="14" fillId="2" borderId="2" xfId="1" applyFont="1" applyFill="1" applyBorder="1" applyAlignment="1">
      <alignment horizontal="center"/>
    </xf>
    <xf numFmtId="168" fontId="14" fillId="3" borderId="4" xfId="1" applyFont="1" applyFill="1" applyBorder="1" applyAlignment="1">
      <alignment horizontal="center"/>
    </xf>
    <xf numFmtId="168" fontId="4" fillId="2" borderId="5" xfId="1" applyFont="1" applyFill="1" applyBorder="1" applyAlignment="1">
      <alignment horizontal="center"/>
    </xf>
    <xf numFmtId="168" fontId="4" fillId="2" borderId="6" xfId="1" applyFont="1" applyFill="1" applyBorder="1" applyAlignment="1">
      <alignment horizontal="center"/>
    </xf>
    <xf numFmtId="168" fontId="14" fillId="2" borderId="5" xfId="1" applyFont="1" applyFill="1" applyBorder="1" applyAlignment="1">
      <alignment horizontal="right"/>
    </xf>
    <xf numFmtId="168" fontId="14" fillId="2" borderId="0" xfId="1" applyFont="1" applyFill="1" applyAlignment="1">
      <alignment horizontal="right"/>
    </xf>
    <xf numFmtId="0" fontId="14" fillId="2" borderId="0" xfId="1" applyNumberFormat="1" applyFont="1" applyFill="1" applyAlignment="1">
      <alignment horizontal="right"/>
    </xf>
    <xf numFmtId="0" fontId="14" fillId="2" borderId="0" xfId="1" quotePrefix="1" applyNumberFormat="1" applyFont="1" applyFill="1" applyAlignment="1">
      <alignment horizontal="right"/>
    </xf>
    <xf numFmtId="0" fontId="14" fillId="2" borderId="0" xfId="1" applyNumberFormat="1" applyFont="1" applyFill="1" applyAlignment="1">
      <alignment horizontal="center"/>
    </xf>
    <xf numFmtId="168" fontId="14" fillId="2" borderId="0" xfId="1" applyFont="1" applyFill="1" applyAlignment="1">
      <alignment horizontal="center"/>
    </xf>
    <xf numFmtId="168" fontId="14" fillId="2" borderId="0" xfId="1" quotePrefix="1" applyFont="1" applyFill="1" applyAlignment="1">
      <alignment horizontal="center"/>
    </xf>
    <xf numFmtId="168" fontId="14" fillId="2" borderId="6" xfId="1" quotePrefix="1" applyFont="1" applyFill="1" applyBorder="1" applyAlignment="1">
      <alignment horizontal="center"/>
    </xf>
    <xf numFmtId="168" fontId="14" fillId="3" borderId="7" xfId="1" quotePrefix="1" applyFont="1" applyFill="1" applyBorder="1" applyAlignment="1">
      <alignment horizontal="center"/>
    </xf>
    <xf numFmtId="168" fontId="14" fillId="2" borderId="5" xfId="1" applyFont="1" applyFill="1" applyBorder="1"/>
    <xf numFmtId="168" fontId="14" fillId="2" borderId="0" xfId="1" applyFont="1" applyFill="1"/>
    <xf numFmtId="168" fontId="14" fillId="2" borderId="6" xfId="1" applyFont="1" applyFill="1" applyBorder="1" applyAlignment="1">
      <alignment horizontal="center"/>
    </xf>
    <xf numFmtId="168" fontId="14" fillId="3" borderId="7" xfId="1" applyFont="1" applyFill="1" applyBorder="1" applyAlignment="1">
      <alignment horizontal="center"/>
    </xf>
    <xf numFmtId="168" fontId="4" fillId="2" borderId="8" xfId="1" applyFont="1" applyFill="1" applyBorder="1" applyAlignment="1">
      <alignment horizontal="center"/>
    </xf>
    <xf numFmtId="168" fontId="4" fillId="2" borderId="9" xfId="1" applyFont="1" applyFill="1" applyBorder="1" applyAlignment="1">
      <alignment horizontal="center"/>
    </xf>
    <xf numFmtId="0" fontId="15" fillId="2" borderId="8" xfId="1" applyNumberFormat="1" applyFont="1" applyFill="1" applyBorder="1"/>
    <xf numFmtId="0" fontId="15" fillId="2" borderId="10" xfId="1" quotePrefix="1" applyNumberFormat="1" applyFont="1" applyFill="1" applyBorder="1" applyAlignment="1">
      <alignment horizontal="center"/>
    </xf>
    <xf numFmtId="49" fontId="15" fillId="2" borderId="10" xfId="1" applyNumberFormat="1" applyFont="1" applyFill="1" applyBorder="1" applyAlignment="1">
      <alignment horizontal="center"/>
    </xf>
    <xf numFmtId="168" fontId="14" fillId="2" borderId="10" xfId="1" applyFont="1" applyFill="1" applyBorder="1" applyAlignment="1">
      <alignment horizontal="center"/>
    </xf>
    <xf numFmtId="168" fontId="14" fillId="2" borderId="10" xfId="1" quotePrefix="1" applyFont="1" applyFill="1" applyBorder="1" applyAlignment="1">
      <alignment horizontal="center"/>
    </xf>
    <xf numFmtId="168" fontId="14" fillId="2" borderId="9" xfId="1" quotePrefix="1" applyFont="1" applyFill="1" applyBorder="1" applyAlignment="1">
      <alignment horizontal="center"/>
    </xf>
    <xf numFmtId="168" fontId="14" fillId="2" borderId="11" xfId="1" quotePrefix="1" applyFont="1" applyFill="1" applyBorder="1" applyAlignment="1">
      <alignment horizontal="center"/>
    </xf>
    <xf numFmtId="168" fontId="16" fillId="2" borderId="0" xfId="1" applyFont="1" applyFill="1"/>
    <xf numFmtId="168" fontId="17" fillId="2" borderId="5" xfId="1" applyFont="1" applyFill="1" applyBorder="1" applyAlignment="1">
      <alignment horizontal="left"/>
    </xf>
    <xf numFmtId="168" fontId="17" fillId="2" borderId="0" xfId="1" applyFont="1" applyFill="1"/>
    <xf numFmtId="168" fontId="18" fillId="2" borderId="5" xfId="1" applyFont="1" applyFill="1" applyBorder="1"/>
    <xf numFmtId="168" fontId="18" fillId="2" borderId="0" xfId="1" applyFont="1" applyFill="1"/>
    <xf numFmtId="168" fontId="19" fillId="2" borderId="0" xfId="1" applyFont="1" applyFill="1"/>
    <xf numFmtId="168" fontId="20" fillId="2" borderId="0" xfId="1" applyFont="1" applyFill="1"/>
    <xf numFmtId="168" fontId="18" fillId="2" borderId="0" xfId="1" applyFont="1" applyFill="1" applyAlignment="1">
      <alignment horizontal="right"/>
    </xf>
    <xf numFmtId="168" fontId="4" fillId="2" borderId="6" xfId="1" applyFont="1" applyFill="1" applyBorder="1"/>
    <xf numFmtId="168" fontId="4" fillId="2" borderId="7" xfId="1" applyFont="1" applyFill="1" applyBorder="1"/>
    <xf numFmtId="168" fontId="17" fillId="2" borderId="5" xfId="1" applyFont="1" applyFill="1" applyBorder="1"/>
    <xf numFmtId="168" fontId="17" fillId="2" borderId="6" xfId="1" applyFont="1" applyFill="1" applyBorder="1" applyAlignment="1">
      <alignment horizontal="left"/>
    </xf>
    <xf numFmtId="168" fontId="4" fillId="2" borderId="5" xfId="1" applyFont="1" applyFill="1" applyBorder="1"/>
    <xf numFmtId="168" fontId="4" fillId="2" borderId="6" xfId="1" applyFont="1" applyFill="1" applyBorder="1" applyAlignment="1">
      <alignment horizontal="right"/>
    </xf>
    <xf numFmtId="168" fontId="4" fillId="2" borderId="7" xfId="1" applyFont="1" applyFill="1" applyBorder="1" applyAlignment="1">
      <alignment horizontal="right"/>
    </xf>
    <xf numFmtId="168" fontId="4" fillId="2" borderId="6" xfId="1" applyFont="1" applyFill="1" applyBorder="1" applyAlignment="1">
      <alignment horizontal="left"/>
    </xf>
    <xf numFmtId="168" fontId="4" fillId="4" borderId="7" xfId="1" applyFont="1" applyFill="1" applyBorder="1"/>
    <xf numFmtId="168" fontId="4" fillId="5" borderId="7" xfId="1" applyFont="1" applyFill="1" applyBorder="1"/>
    <xf numFmtId="168" fontId="4" fillId="2" borderId="5" xfId="1" applyFont="1" applyFill="1" applyBorder="1" applyAlignment="1">
      <alignment horizontal="center"/>
    </xf>
    <xf numFmtId="168" fontId="4" fillId="6" borderId="7" xfId="1" applyFont="1" applyFill="1" applyBorder="1"/>
    <xf numFmtId="168" fontId="4" fillId="7" borderId="7" xfId="1" applyFont="1" applyFill="1" applyBorder="1"/>
    <xf numFmtId="168" fontId="3" fillId="2" borderId="0" xfId="1" applyFill="1" applyAlignment="1">
      <alignment horizontal="right"/>
    </xf>
    <xf numFmtId="168" fontId="3" fillId="2" borderId="12" xfId="1" applyFill="1" applyBorder="1" applyAlignment="1">
      <alignment horizontal="right"/>
    </xf>
    <xf numFmtId="168" fontId="3" fillId="2" borderId="7" xfId="1" applyFill="1" applyBorder="1" applyAlignment="1">
      <alignment horizontal="right"/>
    </xf>
    <xf numFmtId="168" fontId="21" fillId="2" borderId="0" xfId="1" applyFont="1" applyFill="1"/>
    <xf numFmtId="168" fontId="22" fillId="2" borderId="5" xfId="1" applyFont="1" applyFill="1" applyBorder="1" applyAlignment="1">
      <alignment horizontal="center"/>
    </xf>
    <xf numFmtId="168" fontId="10" fillId="2" borderId="6" xfId="1" applyFont="1" applyFill="1" applyBorder="1" applyAlignment="1">
      <alignment horizontal="left"/>
    </xf>
    <xf numFmtId="168" fontId="14" fillId="2" borderId="6" xfId="1" applyFont="1" applyFill="1" applyBorder="1" applyAlignment="1">
      <alignment horizontal="right"/>
    </xf>
    <xf numFmtId="168" fontId="14" fillId="2" borderId="7" xfId="1" applyFont="1" applyFill="1" applyBorder="1" applyAlignment="1">
      <alignment horizontal="right"/>
    </xf>
    <xf numFmtId="168" fontId="4" fillId="2" borderId="0" xfId="1" applyFont="1" applyFill="1" applyAlignment="1">
      <alignment horizontal="fill"/>
    </xf>
    <xf numFmtId="168" fontId="4" fillId="2" borderId="8" xfId="1" applyFont="1" applyFill="1" applyBorder="1" applyAlignment="1">
      <alignment horizontal="fill"/>
    </xf>
    <xf numFmtId="168" fontId="4" fillId="2" borderId="9" xfId="1" applyFont="1" applyFill="1" applyBorder="1" applyAlignment="1">
      <alignment horizontal="left"/>
    </xf>
    <xf numFmtId="168" fontId="4" fillId="2" borderId="10" xfId="1" applyFont="1" applyFill="1" applyBorder="1" applyAlignment="1">
      <alignment horizontal="fill"/>
    </xf>
    <xf numFmtId="168" fontId="4" fillId="2" borderId="10" xfId="1" applyFont="1" applyFill="1" applyBorder="1" applyAlignment="1">
      <alignment horizontal="right"/>
    </xf>
    <xf numFmtId="168" fontId="4" fillId="2" borderId="9" xfId="1" applyFont="1" applyFill="1" applyBorder="1" applyAlignment="1">
      <alignment horizontal="right"/>
    </xf>
    <xf numFmtId="168" fontId="4" fillId="2" borderId="11" xfId="1" applyFont="1" applyFill="1" applyBorder="1" applyAlignment="1">
      <alignment horizontal="right"/>
    </xf>
    <xf numFmtId="168" fontId="3" fillId="2" borderId="6" xfId="1" applyFill="1" applyBorder="1" applyAlignment="1">
      <alignment horizontal="right"/>
    </xf>
    <xf numFmtId="168" fontId="4" fillId="5" borderId="7" xfId="1" applyFont="1" applyFill="1" applyBorder="1" applyAlignment="1">
      <alignment horizontal="right"/>
    </xf>
    <xf numFmtId="168" fontId="3" fillId="2" borderId="5" xfId="1" applyFill="1" applyBorder="1" applyAlignment="1">
      <alignment horizontal="right"/>
    </xf>
    <xf numFmtId="168" fontId="10" fillId="2" borderId="5" xfId="1" applyFont="1" applyFill="1" applyBorder="1" applyAlignment="1">
      <alignment horizontal="center"/>
    </xf>
    <xf numFmtId="168" fontId="17" fillId="2" borderId="0" xfId="1" applyFont="1" applyFill="1" applyAlignment="1">
      <alignment horizontal="right"/>
    </xf>
    <xf numFmtId="168" fontId="14" fillId="2" borderId="7" xfId="1" applyFont="1" applyFill="1" applyBorder="1" applyAlignment="1">
      <alignment horizontal="center"/>
    </xf>
    <xf numFmtId="168" fontId="10" fillId="2" borderId="5" xfId="1" applyFont="1" applyFill="1" applyBorder="1"/>
    <xf numFmtId="168" fontId="22" fillId="2" borderId="5" xfId="1" applyFont="1" applyFill="1" applyBorder="1" applyAlignment="1">
      <alignment horizontal="center"/>
    </xf>
    <xf numFmtId="168" fontId="22" fillId="2" borderId="6" xfId="1" applyFont="1" applyFill="1" applyBorder="1" applyAlignment="1">
      <alignment horizontal="center"/>
    </xf>
    <xf numFmtId="168" fontId="4" fillId="2" borderId="8" xfId="1" applyFont="1" applyFill="1" applyBorder="1"/>
    <xf numFmtId="168" fontId="4" fillId="2" borderId="10" xfId="1" applyFont="1" applyFill="1" applyBorder="1"/>
    <xf numFmtId="168" fontId="14" fillId="2" borderId="9" xfId="1" applyFont="1" applyFill="1" applyBorder="1" applyAlignment="1">
      <alignment horizontal="center"/>
    </xf>
    <xf numFmtId="168" fontId="14" fillId="2" borderId="11" xfId="1" applyFont="1" applyFill="1" applyBorder="1" applyAlignment="1">
      <alignment horizontal="center"/>
    </xf>
    <xf numFmtId="168" fontId="3" fillId="2" borderId="0" xfId="1" applyFill="1" applyAlignment="1">
      <alignment horizontal="left"/>
    </xf>
    <xf numFmtId="168" fontId="4" fillId="5" borderId="0" xfId="1" applyFont="1" applyFill="1" applyAlignment="1">
      <alignment horizontal="left" wrapText="1"/>
    </xf>
    <xf numFmtId="168" fontId="4" fillId="5" borderId="0" xfId="1" applyFont="1" applyFill="1" applyAlignment="1">
      <alignment horizontal="left" vertical="top" wrapText="1"/>
    </xf>
    <xf numFmtId="168" fontId="10" fillId="2" borderId="0" xfId="1" applyFont="1" applyFill="1" applyAlignment="1">
      <alignment horizontal="right"/>
    </xf>
    <xf numFmtId="168" fontId="4" fillId="4" borderId="0" xfId="1" applyFont="1" applyFill="1" applyAlignment="1">
      <alignment horizontal="left" vertical="top" wrapText="1"/>
    </xf>
    <xf numFmtId="168" fontId="4" fillId="4" borderId="0" xfId="1" applyFont="1" applyFill="1" applyAlignment="1">
      <alignment horizontal="left" wrapText="1"/>
    </xf>
    <xf numFmtId="168" fontId="4" fillId="7" borderId="0" xfId="1" applyFont="1" applyFill="1" applyAlignment="1">
      <alignment horizontal="left"/>
    </xf>
    <xf numFmtId="168" fontId="8" fillId="2" borderId="0" xfId="1" applyFont="1" applyFill="1"/>
    <xf numFmtId="168" fontId="23" fillId="2" borderId="0" xfId="1" applyFont="1" applyFill="1"/>
    <xf numFmtId="168" fontId="23" fillId="2" borderId="0" xfId="1" applyFont="1" applyFill="1" applyAlignment="1">
      <alignment horizontal="left"/>
    </xf>
    <xf numFmtId="168" fontId="4" fillId="2" borderId="0" xfId="1" quotePrefix="1" applyFont="1" applyFill="1" applyAlignment="1">
      <alignment horizontal="right"/>
    </xf>
    <xf numFmtId="49" fontId="16" fillId="2" borderId="0" xfId="1" quotePrefix="1" applyNumberFormat="1" applyFont="1" applyFill="1" applyAlignment="1">
      <alignment horizontal="center"/>
    </xf>
    <xf numFmtId="168" fontId="16" fillId="2" borderId="0" xfId="1" applyFont="1" applyFill="1" applyAlignment="1">
      <alignment horizontal="right"/>
    </xf>
    <xf numFmtId="168" fontId="10" fillId="2" borderId="0" xfId="1" applyFont="1" applyFill="1" applyAlignment="1">
      <alignment horizontal="center"/>
    </xf>
    <xf numFmtId="168" fontId="4" fillId="2" borderId="13" xfId="1" applyFont="1" applyFill="1" applyBorder="1"/>
    <xf numFmtId="168" fontId="4" fillId="2" borderId="14" xfId="1" applyFont="1" applyFill="1" applyBorder="1"/>
    <xf numFmtId="168" fontId="4" fillId="2" borderId="15" xfId="1" applyFont="1" applyFill="1" applyBorder="1"/>
    <xf numFmtId="168" fontId="4" fillId="2" borderId="16" xfId="1" applyFont="1" applyFill="1" applyBorder="1"/>
    <xf numFmtId="168" fontId="4" fillId="2" borderId="17" xfId="1" applyFont="1" applyFill="1" applyBorder="1"/>
    <xf numFmtId="168" fontId="4" fillId="2" borderId="18" xfId="1" applyFont="1" applyFill="1" applyBorder="1"/>
    <xf numFmtId="168" fontId="4" fillId="2" borderId="19" xfId="1" applyFont="1" applyFill="1" applyBorder="1"/>
    <xf numFmtId="168" fontId="4" fillId="2" borderId="20" xfId="1" applyFont="1" applyFill="1" applyBorder="1"/>
    <xf numFmtId="168" fontId="4" fillId="2" borderId="13" xfId="1" applyFont="1" applyFill="1" applyBorder="1" applyAlignment="1">
      <alignment horizontal="center"/>
    </xf>
    <xf numFmtId="168" fontId="16" fillId="2" borderId="13" xfId="1" applyFont="1" applyFill="1" applyBorder="1"/>
    <xf numFmtId="168" fontId="4" fillId="2" borderId="13" xfId="1" applyFont="1" applyFill="1" applyBorder="1" applyAlignment="1">
      <alignment horizontal="fill"/>
    </xf>
    <xf numFmtId="168" fontId="4" fillId="2" borderId="14" xfId="1" applyFont="1" applyFill="1" applyBorder="1" applyAlignment="1">
      <alignment horizontal="fill"/>
    </xf>
    <xf numFmtId="168" fontId="6" fillId="2" borderId="0" xfId="1" applyFont="1" applyFill="1"/>
    <xf numFmtId="168" fontId="4" fillId="2" borderId="1" xfId="1" applyFont="1" applyFill="1" applyBorder="1"/>
    <xf numFmtId="168" fontId="4" fillId="2" borderId="2" xfId="1" applyFont="1" applyFill="1" applyBorder="1" applyAlignment="1">
      <alignment horizontal="left"/>
    </xf>
    <xf numFmtId="168" fontId="14" fillId="3" borderId="3" xfId="1" applyFont="1" applyFill="1" applyBorder="1" applyAlignment="1">
      <alignment horizontal="center"/>
    </xf>
    <xf numFmtId="168" fontId="14" fillId="3" borderId="2" xfId="1" applyFont="1" applyFill="1" applyBorder="1" applyAlignment="1">
      <alignment horizontal="center"/>
    </xf>
    <xf numFmtId="168" fontId="14" fillId="3" borderId="0" xfId="1" quotePrefix="1" applyFont="1" applyFill="1" applyAlignment="1">
      <alignment horizontal="center"/>
    </xf>
    <xf numFmtId="168" fontId="14" fillId="3" borderId="6" xfId="1" quotePrefix="1" applyFont="1" applyFill="1" applyBorder="1" applyAlignment="1">
      <alignment horizontal="center"/>
    </xf>
    <xf numFmtId="49" fontId="14" fillId="2" borderId="0" xfId="1" applyNumberFormat="1" applyFont="1" applyFill="1" applyAlignment="1">
      <alignment horizontal="center"/>
    </xf>
    <xf numFmtId="168" fontId="14" fillId="3" borderId="0" xfId="1" applyFont="1" applyFill="1" applyAlignment="1">
      <alignment horizontal="center"/>
    </xf>
    <xf numFmtId="168" fontId="14" fillId="3" borderId="6" xfId="1" applyFont="1" applyFill="1" applyBorder="1" applyAlignment="1">
      <alignment horizontal="center"/>
    </xf>
    <xf numFmtId="0" fontId="15" fillId="2" borderId="10" xfId="1" applyNumberFormat="1" applyFont="1" applyFill="1" applyBorder="1"/>
    <xf numFmtId="168" fontId="14" fillId="3" borderId="10" xfId="1" quotePrefix="1" applyFont="1" applyFill="1" applyBorder="1" applyAlignment="1">
      <alignment horizontal="center"/>
    </xf>
    <xf numFmtId="168" fontId="14" fillId="3" borderId="9" xfId="1" quotePrefix="1" applyFont="1" applyFill="1" applyBorder="1" applyAlignment="1">
      <alignment horizontal="center"/>
    </xf>
    <xf numFmtId="168" fontId="14" fillId="3" borderId="11" xfId="1" quotePrefix="1" applyFont="1" applyFill="1" applyBorder="1" applyAlignment="1">
      <alignment horizontal="center"/>
    </xf>
    <xf numFmtId="168" fontId="4" fillId="4" borderId="7" xfId="1" applyFont="1" applyFill="1" applyBorder="1" applyAlignment="1">
      <alignment horizontal="right"/>
    </xf>
    <xf numFmtId="168" fontId="24" fillId="2" borderId="0" xfId="1" applyFont="1" applyFill="1"/>
    <xf numFmtId="168" fontId="4" fillId="2" borderId="5" xfId="1" applyFont="1" applyFill="1" applyBorder="1" applyAlignment="1">
      <alignment horizontal="fill"/>
    </xf>
    <xf numFmtId="168" fontId="17" fillId="2" borderId="1" xfId="1" applyFont="1" applyFill="1" applyBorder="1"/>
    <xf numFmtId="168" fontId="17" fillId="2" borderId="3" xfId="1" applyFont="1" applyFill="1" applyBorder="1"/>
    <xf numFmtId="168" fontId="17" fillId="2" borderId="3" xfId="1" applyFont="1" applyFill="1" applyBorder="1" applyAlignment="1">
      <alignment horizontal="right"/>
    </xf>
    <xf numFmtId="168" fontId="17" fillId="2" borderId="8" xfId="1" applyFont="1" applyFill="1" applyBorder="1"/>
    <xf numFmtId="168" fontId="17" fillId="2" borderId="9" xfId="1" applyFont="1" applyFill="1" applyBorder="1" applyAlignment="1">
      <alignment horizontal="left"/>
    </xf>
    <xf numFmtId="168" fontId="17" fillId="2" borderId="10" xfId="1" applyFont="1" applyFill="1" applyBorder="1"/>
    <xf numFmtId="168" fontId="14" fillId="3" borderId="10" xfId="1" applyFont="1" applyFill="1" applyBorder="1" applyAlignment="1">
      <alignment horizontal="center"/>
    </xf>
    <xf numFmtId="168" fontId="14" fillId="3" borderId="9" xfId="1" applyFont="1" applyFill="1" applyBorder="1" applyAlignment="1">
      <alignment horizontal="center"/>
    </xf>
    <xf numFmtId="168" fontId="14" fillId="3" borderId="11" xfId="1" applyFont="1" applyFill="1" applyBorder="1" applyAlignment="1">
      <alignment horizontal="center"/>
    </xf>
    <xf numFmtId="168" fontId="4" fillId="5" borderId="0" xfId="1" applyFont="1" applyFill="1" applyAlignment="1">
      <alignment vertical="top" wrapText="1"/>
    </xf>
    <xf numFmtId="168" fontId="4" fillId="5" borderId="0" xfId="1" applyFont="1" applyFill="1" applyAlignment="1">
      <alignment wrapText="1"/>
    </xf>
    <xf numFmtId="168" fontId="4" fillId="4" borderId="0" xfId="1" applyFont="1" applyFill="1" applyAlignment="1">
      <alignment vertical="top" wrapText="1"/>
    </xf>
    <xf numFmtId="168" fontId="4" fillId="4" borderId="0" xfId="1" applyFont="1" applyFill="1" applyAlignment="1">
      <alignment wrapText="1"/>
    </xf>
    <xf numFmtId="168" fontId="4" fillId="7" borderId="0" xfId="1" applyFont="1" applyFill="1"/>
    <xf numFmtId="168" fontId="4" fillId="2" borderId="3" xfId="1" applyFont="1" applyFill="1" applyBorder="1" applyAlignment="1">
      <alignment horizontal="left"/>
    </xf>
    <xf numFmtId="168" fontId="10" fillId="8" borderId="0" xfId="1" applyFont="1" applyFill="1"/>
    <xf numFmtId="168" fontId="25" fillId="2" borderId="0" xfId="1" applyFont="1" applyFill="1" applyAlignment="1">
      <alignment horizontal="center"/>
    </xf>
    <xf numFmtId="168" fontId="26" fillId="8" borderId="0" xfId="1" applyFont="1" applyFill="1" applyAlignment="1">
      <alignment horizontal="center"/>
    </xf>
    <xf numFmtId="168" fontId="27" fillId="2" borderId="0" xfId="1" applyFont="1" applyFill="1" applyAlignment="1">
      <alignment horizontal="center"/>
    </xf>
    <xf numFmtId="168" fontId="4" fillId="8" borderId="0" xfId="1" applyFont="1" applyFill="1"/>
    <xf numFmtId="168" fontId="4" fillId="2" borderId="10" xfId="1" applyFont="1" applyFill="1" applyBorder="1" applyAlignment="1">
      <alignment horizontal="left"/>
    </xf>
    <xf numFmtId="49" fontId="16" fillId="2" borderId="0" xfId="1" applyNumberFormat="1" applyFont="1" applyFill="1" applyAlignment="1">
      <alignment horizontal="center"/>
    </xf>
    <xf numFmtId="168" fontId="25" fillId="8" borderId="0" xfId="1" applyFont="1" applyFill="1" applyAlignment="1">
      <alignment horizontal="fill"/>
    </xf>
    <xf numFmtId="168" fontId="4" fillId="2" borderId="3" xfId="1" applyFont="1" applyFill="1" applyBorder="1"/>
    <xf numFmtId="168" fontId="4" fillId="2" borderId="3" xfId="1" applyFont="1" applyFill="1" applyBorder="1" applyAlignment="1">
      <alignment horizontal="right"/>
    </xf>
    <xf numFmtId="168" fontId="25" fillId="2" borderId="0" xfId="1" applyFont="1" applyFill="1"/>
    <xf numFmtId="169" fontId="4" fillId="2" borderId="0" xfId="1" applyNumberFormat="1" applyFont="1" applyFill="1"/>
    <xf numFmtId="169" fontId="25" fillId="2" borderId="0" xfId="1" applyNumberFormat="1" applyFont="1" applyFill="1"/>
    <xf numFmtId="168" fontId="4" fillId="8" borderId="0" xfId="1" applyFont="1" applyFill="1" applyAlignment="1">
      <alignment horizontal="center"/>
    </xf>
    <xf numFmtId="168" fontId="28" fillId="2" borderId="0" xfId="1" applyFont="1" applyFill="1" applyAlignment="1">
      <alignment horizontal="right"/>
    </xf>
    <xf numFmtId="168" fontId="14" fillId="8" borderId="0" xfId="1" applyFont="1" applyFill="1"/>
    <xf numFmtId="169" fontId="14" fillId="2" borderId="0" xfId="1" applyNumberFormat="1" applyFont="1" applyFill="1"/>
    <xf numFmtId="169" fontId="29" fillId="2" borderId="0" xfId="1" applyNumberFormat="1" applyFont="1" applyFill="1"/>
    <xf numFmtId="168" fontId="14" fillId="2" borderId="0" xfId="1" applyFont="1" applyFill="1" applyAlignment="1">
      <alignment horizontal="left"/>
    </xf>
    <xf numFmtId="168" fontId="4" fillId="8" borderId="0" xfId="1" applyFont="1" applyFill="1" applyAlignment="1">
      <alignment horizontal="fill"/>
    </xf>
    <xf numFmtId="168" fontId="4" fillId="2" borderId="21" xfId="1" applyFont="1" applyFill="1" applyBorder="1" applyAlignment="1">
      <alignment horizontal="fill"/>
    </xf>
    <xf numFmtId="168" fontId="4" fillId="2" borderId="22" xfId="1" applyFont="1" applyFill="1" applyBorder="1" applyAlignment="1">
      <alignment horizontal="left"/>
    </xf>
    <xf numFmtId="168" fontId="14" fillId="2" borderId="6" xfId="1" applyFont="1" applyFill="1" applyBorder="1" applyAlignment="1">
      <alignment horizontal="left"/>
    </xf>
    <xf numFmtId="168" fontId="17" fillId="2" borderId="2" xfId="1" applyFont="1" applyFill="1" applyBorder="1" applyAlignment="1">
      <alignment horizontal="left"/>
    </xf>
    <xf numFmtId="168" fontId="14" fillId="2" borderId="5" xfId="1" applyFont="1" applyFill="1" applyBorder="1" applyAlignment="1">
      <alignment horizontal="center"/>
    </xf>
    <xf numFmtId="168" fontId="14" fillId="2" borderId="6" xfId="1" applyFont="1" applyFill="1" applyBorder="1" applyAlignment="1">
      <alignment horizontal="center"/>
    </xf>
    <xf numFmtId="168" fontId="4" fillId="2" borderId="0" xfId="1" applyFont="1" applyFill="1" applyAlignment="1">
      <alignment horizontal="center"/>
    </xf>
    <xf numFmtId="168" fontId="4" fillId="7" borderId="0" xfId="1" applyFont="1" applyFill="1" applyAlignment="1">
      <alignment vertical="top"/>
    </xf>
    <xf numFmtId="9" fontId="10" fillId="2" borderId="0" xfId="1" applyNumberFormat="1" applyFont="1" applyFill="1"/>
    <xf numFmtId="169" fontId="27" fillId="2" borderId="0" xfId="1" applyNumberFormat="1" applyFont="1" applyFill="1"/>
    <xf numFmtId="170" fontId="4" fillId="2" borderId="0" xfId="1" applyNumberFormat="1" applyFont="1" applyFill="1"/>
    <xf numFmtId="169" fontId="4" fillId="2" borderId="0" xfId="1" applyNumberFormat="1" applyFont="1" applyFill="1" applyAlignment="1">
      <alignment horizontal="fill"/>
    </xf>
    <xf numFmtId="168" fontId="30" fillId="2" borderId="0" xfId="1" applyFont="1" applyFill="1" applyAlignment="1">
      <alignment horizontal="left"/>
    </xf>
    <xf numFmtId="168" fontId="4" fillId="2" borderId="4" xfId="1" applyFont="1" applyFill="1" applyBorder="1" applyAlignment="1">
      <alignment horizontal="right"/>
    </xf>
    <xf numFmtId="168" fontId="14" fillId="2" borderId="5" xfId="1" applyFont="1" applyFill="1" applyBorder="1" applyAlignment="1">
      <alignment horizontal="center"/>
    </xf>
    <xf numFmtId="168" fontId="4" fillId="2" borderId="23" xfId="1" applyFont="1" applyFill="1" applyBorder="1" applyAlignment="1">
      <alignment horizontal="left"/>
    </xf>
    <xf numFmtId="168" fontId="4" fillId="2" borderId="24" xfId="1" applyFont="1" applyFill="1" applyBorder="1"/>
    <xf numFmtId="168" fontId="4" fillId="4" borderId="24" xfId="1" applyFont="1" applyFill="1" applyBorder="1"/>
    <xf numFmtId="0" fontId="33" fillId="0" borderId="0" xfId="0" applyFont="1"/>
    <xf numFmtId="0" fontId="31" fillId="0" borderId="26" xfId="0" applyFont="1" applyBorder="1"/>
    <xf numFmtId="0" fontId="32" fillId="9" borderId="28" xfId="0" applyFont="1" applyFill="1" applyBorder="1" applyAlignment="1">
      <alignment horizontal="center"/>
    </xf>
    <xf numFmtId="0" fontId="32" fillId="9" borderId="29" xfId="0" applyFont="1" applyFill="1" applyBorder="1" applyAlignment="1">
      <alignment horizontal="center"/>
    </xf>
    <xf numFmtId="0" fontId="32" fillId="9" borderId="30" xfId="0" applyFont="1" applyFill="1" applyBorder="1" applyAlignment="1">
      <alignment horizontal="center"/>
    </xf>
    <xf numFmtId="0" fontId="31" fillId="0" borderId="31" xfId="0" applyFont="1" applyBorder="1"/>
    <xf numFmtId="0" fontId="31" fillId="0" borderId="34" xfId="0" applyFont="1" applyBorder="1"/>
    <xf numFmtId="168" fontId="4" fillId="5" borderId="36" xfId="1" applyFont="1" applyFill="1" applyBorder="1"/>
    <xf numFmtId="168" fontId="4" fillId="2" borderId="40" xfId="1" applyFont="1" applyFill="1" applyBorder="1"/>
    <xf numFmtId="168" fontId="4" fillId="4" borderId="40" xfId="1" applyFont="1" applyFill="1" applyBorder="1"/>
    <xf numFmtId="168" fontId="4" fillId="5" borderId="38" xfId="1" applyFont="1" applyFill="1" applyBorder="1"/>
    <xf numFmtId="0" fontId="31" fillId="0" borderId="41" xfId="0" applyFont="1" applyBorder="1"/>
    <xf numFmtId="0" fontId="31" fillId="0" borderId="42" xfId="0" applyFont="1" applyBorder="1"/>
    <xf numFmtId="0" fontId="31" fillId="0" borderId="43" xfId="0" applyFont="1" applyBorder="1"/>
    <xf numFmtId="168" fontId="4" fillId="2" borderId="44" xfId="1" applyFont="1" applyFill="1" applyBorder="1"/>
    <xf numFmtId="168" fontId="4" fillId="2" borderId="45" xfId="1" applyFont="1" applyFill="1" applyBorder="1"/>
    <xf numFmtId="168" fontId="4" fillId="4" borderId="45" xfId="1" applyFont="1" applyFill="1" applyBorder="1"/>
    <xf numFmtId="168" fontId="4" fillId="5" borderId="46" xfId="1" applyFont="1" applyFill="1" applyBorder="1"/>
    <xf numFmtId="168" fontId="4" fillId="2" borderId="35" xfId="1" applyFont="1" applyFill="1" applyBorder="1"/>
    <xf numFmtId="168" fontId="4" fillId="2" borderId="37" xfId="1" applyFont="1" applyFill="1" applyBorder="1"/>
    <xf numFmtId="0" fontId="0" fillId="0" borderId="24" xfId="0" applyBorder="1"/>
    <xf numFmtId="168" fontId="10" fillId="9" borderId="25" xfId="1" applyFont="1" applyFill="1" applyBorder="1" applyAlignment="1">
      <alignment horizontal="center"/>
    </xf>
    <xf numFmtId="168" fontId="4" fillId="2" borderId="48" xfId="1" applyFont="1" applyFill="1" applyBorder="1" applyAlignment="1">
      <alignment horizontal="center"/>
    </xf>
    <xf numFmtId="168" fontId="4" fillId="2" borderId="49" xfId="1" applyFont="1" applyFill="1" applyBorder="1" applyAlignment="1">
      <alignment horizontal="center"/>
    </xf>
    <xf numFmtId="168" fontId="4" fillId="2" borderId="48" xfId="1" applyFont="1" applyFill="1" applyBorder="1"/>
    <xf numFmtId="168" fontId="4" fillId="2" borderId="49" xfId="1" applyFont="1" applyFill="1" applyBorder="1"/>
    <xf numFmtId="0" fontId="32" fillId="9" borderId="50" xfId="0" applyFont="1" applyFill="1" applyBorder="1" applyAlignment="1">
      <alignment horizontal="center"/>
    </xf>
    <xf numFmtId="0" fontId="31" fillId="9" borderId="51" xfId="0" applyFont="1" applyFill="1" applyBorder="1"/>
    <xf numFmtId="0" fontId="31" fillId="9" borderId="52" xfId="0" applyFont="1" applyFill="1" applyBorder="1"/>
    <xf numFmtId="168" fontId="10" fillId="9" borderId="53" xfId="1" applyFont="1" applyFill="1" applyBorder="1"/>
    <xf numFmtId="168" fontId="10" fillId="9" borderId="54" xfId="1" applyFont="1" applyFill="1" applyBorder="1"/>
    <xf numFmtId="168" fontId="10" fillId="9" borderId="55" xfId="1" applyFont="1" applyFill="1" applyBorder="1"/>
    <xf numFmtId="0" fontId="32" fillId="9" borderId="25" xfId="0" applyFont="1" applyFill="1" applyBorder="1" applyAlignment="1">
      <alignment horizontal="center"/>
    </xf>
    <xf numFmtId="0" fontId="31" fillId="9" borderId="56" xfId="0" applyFont="1" applyFill="1" applyBorder="1"/>
    <xf numFmtId="0" fontId="31" fillId="9" borderId="57" xfId="0" applyFont="1" applyFill="1" applyBorder="1"/>
    <xf numFmtId="168" fontId="10" fillId="9" borderId="47" xfId="1" applyFont="1" applyFill="1" applyBorder="1"/>
    <xf numFmtId="168" fontId="10" fillId="9" borderId="48" xfId="1" applyFont="1" applyFill="1" applyBorder="1"/>
    <xf numFmtId="168" fontId="10" fillId="9" borderId="49" xfId="1" applyFont="1" applyFill="1" applyBorder="1"/>
    <xf numFmtId="168" fontId="4" fillId="2" borderId="35" xfId="1" applyFont="1" applyFill="1" applyBorder="1" applyAlignment="1">
      <alignment horizontal="center"/>
    </xf>
    <xf numFmtId="168" fontId="4" fillId="2" borderId="37" xfId="1" applyFont="1" applyFill="1" applyBorder="1" applyAlignment="1">
      <alignment horizontal="center"/>
    </xf>
    <xf numFmtId="168" fontId="4" fillId="2" borderId="56" xfId="1" applyFont="1" applyFill="1" applyBorder="1" applyAlignment="1">
      <alignment horizontal="center"/>
    </xf>
    <xf numFmtId="168" fontId="4" fillId="2" borderId="36" xfId="1" applyFont="1" applyFill="1" applyBorder="1"/>
    <xf numFmtId="168" fontId="4" fillId="2" borderId="38" xfId="1" applyFont="1" applyFill="1" applyBorder="1"/>
    <xf numFmtId="168" fontId="4" fillId="2" borderId="46" xfId="1" applyFont="1" applyFill="1" applyBorder="1"/>
    <xf numFmtId="168" fontId="10" fillId="9" borderId="4" xfId="1" applyFont="1" applyFill="1" applyBorder="1" applyAlignment="1">
      <alignment horizontal="center"/>
    </xf>
    <xf numFmtId="168" fontId="10" fillId="9" borderId="58" xfId="1" applyFont="1" applyFill="1" applyBorder="1" applyAlignment="1">
      <alignment horizontal="center"/>
    </xf>
    <xf numFmtId="168" fontId="4" fillId="2" borderId="59" xfId="1" applyFont="1" applyFill="1" applyBorder="1"/>
    <xf numFmtId="168" fontId="4" fillId="2" borderId="60" xfId="1" applyFont="1" applyFill="1" applyBorder="1"/>
    <xf numFmtId="168" fontId="4" fillId="2" borderId="61" xfId="1" applyFont="1" applyFill="1" applyBorder="1"/>
    <xf numFmtId="168" fontId="4" fillId="2" borderId="56" xfId="1" applyFont="1" applyFill="1" applyBorder="1"/>
    <xf numFmtId="0" fontId="0" fillId="0" borderId="46" xfId="0" applyBorder="1" applyAlignment="1"/>
    <xf numFmtId="0" fontId="0" fillId="0" borderId="35" xfId="0" applyBorder="1"/>
    <xf numFmtId="0" fontId="0" fillId="0" borderId="36" xfId="0" applyBorder="1" applyAlignment="1"/>
    <xf numFmtId="0" fontId="0" fillId="0" borderId="37" xfId="0" applyBorder="1"/>
    <xf numFmtId="0" fontId="0" fillId="0" borderId="38" xfId="0" applyBorder="1" applyAlignment="1"/>
    <xf numFmtId="0" fontId="0" fillId="0" borderId="44" xfId="0" applyBorder="1" applyAlignment="1"/>
    <xf numFmtId="0" fontId="0" fillId="0" borderId="35" xfId="0" applyBorder="1" applyAlignment="1"/>
    <xf numFmtId="0" fontId="0" fillId="0" borderId="37" xfId="0" applyBorder="1" applyAlignment="1"/>
    <xf numFmtId="0" fontId="0" fillId="0" borderId="53" xfId="0" applyBorder="1"/>
    <xf numFmtId="0" fontId="0" fillId="0" borderId="54" xfId="0" applyBorder="1"/>
    <xf numFmtId="0" fontId="0" fillId="0" borderId="55" xfId="0" applyBorder="1"/>
    <xf numFmtId="168" fontId="10" fillId="9" borderId="1" xfId="1" applyFont="1" applyFill="1" applyBorder="1" applyAlignment="1">
      <alignment horizontal="center"/>
    </xf>
    <xf numFmtId="169" fontId="4" fillId="2" borderId="24" xfId="1" applyNumberFormat="1" applyFont="1" applyFill="1" applyBorder="1" applyAlignment="1">
      <alignment horizontal="center"/>
    </xf>
    <xf numFmtId="168" fontId="4" fillId="2" borderId="44" xfId="1" applyFont="1" applyFill="1" applyBorder="1" applyAlignment="1">
      <alignment horizontal="center"/>
    </xf>
    <xf numFmtId="169" fontId="4" fillId="2" borderId="45" xfId="1" applyNumberFormat="1" applyFont="1" applyFill="1" applyBorder="1" applyAlignment="1">
      <alignment horizontal="center"/>
    </xf>
    <xf numFmtId="169" fontId="4" fillId="2" borderId="4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35" fillId="11" borderId="25" xfId="0" applyFont="1" applyFill="1" applyBorder="1" applyAlignment="1">
      <alignment horizontal="center"/>
    </xf>
    <xf numFmtId="0" fontId="0" fillId="0" borderId="0" xfId="0" applyBorder="1"/>
    <xf numFmtId="0" fontId="1" fillId="12" borderId="0" xfId="0" applyFont="1" applyFill="1" applyAlignment="1">
      <alignment horizontal="center"/>
    </xf>
    <xf numFmtId="10" fontId="1" fillId="12" borderId="0" xfId="0" applyNumberFormat="1" applyFont="1" applyFill="1" applyAlignment="1">
      <alignment horizontal="center"/>
    </xf>
    <xf numFmtId="2" fontId="1" fillId="12" borderId="0" xfId="0" applyNumberFormat="1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36" fillId="14" borderId="0" xfId="0" applyFont="1" applyFill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2" xfId="0" applyFont="1" applyBorder="1"/>
    <xf numFmtId="0" fontId="2" fillId="0" borderId="30" xfId="0" applyFont="1" applyBorder="1" applyAlignment="1">
      <alignment horizontal="center"/>
    </xf>
    <xf numFmtId="0" fontId="0" fillId="0" borderId="36" xfId="0" applyBorder="1"/>
    <xf numFmtId="0" fontId="0" fillId="0" borderId="40" xfId="0" applyBorder="1"/>
    <xf numFmtId="0" fontId="0" fillId="0" borderId="38" xfId="0" applyBorder="1"/>
    <xf numFmtId="0" fontId="0" fillId="0" borderId="33" xfId="0" applyBorder="1"/>
    <xf numFmtId="0" fontId="0" fillId="0" borderId="26" xfId="0" applyBorder="1"/>
    <xf numFmtId="0" fontId="0" fillId="0" borderId="34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0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0" borderId="3" xfId="0" applyNumberFormat="1" applyBorder="1"/>
    <xf numFmtId="10" fontId="0" fillId="0" borderId="3" xfId="0" applyNumberFormat="1" applyBorder="1"/>
    <xf numFmtId="10" fontId="0" fillId="0" borderId="2" xfId="0" applyNumberFormat="1" applyBorder="1"/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10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" fontId="0" fillId="0" borderId="0" xfId="0" applyNumberFormat="1" applyBorder="1"/>
    <xf numFmtId="10" fontId="0" fillId="0" borderId="0" xfId="0" applyNumberFormat="1" applyBorder="1"/>
    <xf numFmtId="10" fontId="0" fillId="0" borderId="6" xfId="0" applyNumberFormat="1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10" xfId="0" applyNumberFormat="1" applyBorder="1"/>
    <xf numFmtId="10" fontId="0" fillId="0" borderId="10" xfId="0" applyNumberFormat="1" applyBorder="1"/>
    <xf numFmtId="10" fontId="0" fillId="0" borderId="9" xfId="0" applyNumberFormat="1" applyBorder="1"/>
    <xf numFmtId="0" fontId="0" fillId="10" borderId="1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10" fontId="0" fillId="10" borderId="3" xfId="0" applyNumberFormat="1" applyFill="1" applyBorder="1" applyAlignment="1">
      <alignment horizontal="center"/>
    </xf>
    <xf numFmtId="2" fontId="0" fillId="10" borderId="3" xfId="0" applyNumberFormat="1" applyFill="1" applyBorder="1" applyAlignment="1">
      <alignment horizontal="center"/>
    </xf>
    <xf numFmtId="1" fontId="0" fillId="10" borderId="3" xfId="0" applyNumberFormat="1" applyFill="1" applyBorder="1"/>
    <xf numFmtId="10" fontId="0" fillId="10" borderId="3" xfId="0" applyNumberFormat="1" applyFill="1" applyBorder="1"/>
    <xf numFmtId="10" fontId="0" fillId="10" borderId="2" xfId="0" applyNumberFormat="1" applyFill="1" applyBorder="1"/>
    <xf numFmtId="0" fontId="0" fillId="10" borderId="50" xfId="0" applyFill="1" applyBorder="1" applyAlignment="1">
      <alignment horizontal="center"/>
    </xf>
    <xf numFmtId="0" fontId="0" fillId="10" borderId="58" xfId="0" applyFill="1" applyBorder="1" applyAlignment="1">
      <alignment horizontal="center"/>
    </xf>
    <xf numFmtId="10" fontId="0" fillId="10" borderId="58" xfId="0" applyNumberFormat="1" applyFill="1" applyBorder="1" applyAlignment="1">
      <alignment horizontal="center"/>
    </xf>
    <xf numFmtId="2" fontId="0" fillId="10" borderId="58" xfId="0" applyNumberFormat="1" applyFill="1" applyBorder="1" applyAlignment="1">
      <alignment horizontal="center"/>
    </xf>
    <xf numFmtId="1" fontId="0" fillId="10" borderId="58" xfId="0" applyNumberFormat="1" applyFill="1" applyBorder="1"/>
    <xf numFmtId="10" fontId="0" fillId="10" borderId="58" xfId="0" applyNumberFormat="1" applyFill="1" applyBorder="1"/>
    <xf numFmtId="10" fontId="0" fillId="10" borderId="62" xfId="0" applyNumberFormat="1" applyFill="1" applyBorder="1"/>
    <xf numFmtId="0" fontId="0" fillId="0" borderId="35" xfId="0" applyBorder="1" applyAlignment="1">
      <alignment vertical="center" wrapText="1"/>
    </xf>
    <xf numFmtId="10" fontId="0" fillId="0" borderId="36" xfId="0" applyNumberFormat="1" applyBorder="1" applyAlignment="1">
      <alignment horizontal="center" vertical="center" wrapText="1"/>
    </xf>
    <xf numFmtId="0" fontId="0" fillId="0" borderId="33" xfId="0" applyBorder="1" applyAlignment="1">
      <alignment vertical="center" wrapText="1"/>
    </xf>
    <xf numFmtId="10" fontId="0" fillId="0" borderId="34" xfId="0" applyNumberFormat="1" applyBorder="1" applyAlignment="1">
      <alignment horizontal="center" vertical="center" wrapText="1"/>
    </xf>
    <xf numFmtId="0" fontId="0" fillId="0" borderId="49" xfId="0" applyBorder="1"/>
    <xf numFmtId="173" fontId="0" fillId="0" borderId="56" xfId="0" applyNumberFormat="1" applyBorder="1"/>
    <xf numFmtId="173" fontId="0" fillId="0" borderId="48" xfId="0" applyNumberFormat="1" applyBorder="1"/>
    <xf numFmtId="173" fontId="0" fillId="0" borderId="47" xfId="0" applyNumberFormat="1" applyBorder="1"/>
    <xf numFmtId="0" fontId="2" fillId="15" borderId="37" xfId="0" applyFont="1" applyFill="1" applyBorder="1" applyAlignment="1">
      <alignment vertical="center" wrapText="1"/>
    </xf>
    <xf numFmtId="10" fontId="2" fillId="15" borderId="38" xfId="0" applyNumberFormat="1" applyFont="1" applyFill="1" applyBorder="1" applyAlignment="1">
      <alignment horizontal="center" vertical="center" wrapText="1"/>
    </xf>
    <xf numFmtId="173" fontId="0" fillId="15" borderId="49" xfId="0" applyNumberFormat="1" applyFill="1" applyBorder="1"/>
    <xf numFmtId="0" fontId="2" fillId="15" borderId="35" xfId="0" applyFont="1" applyFill="1" applyBorder="1" applyAlignment="1">
      <alignment vertical="center" wrapText="1"/>
    </xf>
    <xf numFmtId="10" fontId="2" fillId="15" borderId="36" xfId="0" applyNumberFormat="1" applyFont="1" applyFill="1" applyBorder="1" applyAlignment="1">
      <alignment horizontal="center" vertical="center" wrapText="1"/>
    </xf>
    <xf numFmtId="173" fontId="0" fillId="15" borderId="48" xfId="0" applyNumberFormat="1" applyFill="1" applyBorder="1"/>
    <xf numFmtId="0" fontId="1" fillId="11" borderId="63" xfId="0" applyFont="1" applyFill="1" applyBorder="1" applyAlignment="1">
      <alignment horizontal="center"/>
    </xf>
    <xf numFmtId="0" fontId="1" fillId="11" borderId="64" xfId="0" applyFont="1" applyFill="1" applyBorder="1" applyAlignment="1">
      <alignment horizontal="center"/>
    </xf>
    <xf numFmtId="0" fontId="1" fillId="11" borderId="65" xfId="0" applyFont="1" applyFill="1" applyBorder="1" applyAlignment="1">
      <alignment horizontal="center"/>
    </xf>
    <xf numFmtId="0" fontId="1" fillId="16" borderId="58" xfId="0" applyFont="1" applyFill="1" applyBorder="1" applyAlignment="1">
      <alignment horizontal="center"/>
    </xf>
    <xf numFmtId="0" fontId="1" fillId="16" borderId="25" xfId="0" applyFont="1" applyFill="1" applyBorder="1" applyAlignment="1">
      <alignment horizontal="center"/>
    </xf>
    <xf numFmtId="0" fontId="1" fillId="16" borderId="62" xfId="0" applyFont="1" applyFill="1" applyBorder="1" applyAlignment="1">
      <alignment horizontal="center"/>
    </xf>
    <xf numFmtId="0" fontId="1" fillId="16" borderId="27" xfId="0" applyFont="1" applyFill="1" applyBorder="1" applyAlignment="1">
      <alignment horizontal="center" vertical="center" wrapText="1"/>
    </xf>
    <xf numFmtId="0" fontId="1" fillId="16" borderId="29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2" fontId="0" fillId="0" borderId="24" xfId="0" applyNumberFormat="1" applyBorder="1"/>
    <xf numFmtId="0" fontId="2" fillId="17" borderId="46" xfId="0" applyFont="1" applyFill="1" applyBorder="1" applyAlignment="1">
      <alignment horizontal="center"/>
    </xf>
    <xf numFmtId="2" fontId="0" fillId="0" borderId="36" xfId="0" applyNumberFormat="1" applyBorder="1"/>
    <xf numFmtId="2" fontId="0" fillId="0" borderId="40" xfId="0" applyNumberFormat="1" applyBorder="1"/>
    <xf numFmtId="2" fontId="0" fillId="0" borderId="38" xfId="0" applyNumberFormat="1" applyBorder="1"/>
    <xf numFmtId="2" fontId="0" fillId="0" borderId="26" xfId="0" applyNumberFormat="1" applyBorder="1"/>
    <xf numFmtId="2" fontId="0" fillId="0" borderId="34" xfId="0" applyNumberFormat="1" applyBorder="1"/>
    <xf numFmtId="0" fontId="2" fillId="17" borderId="28" xfId="0" applyFont="1" applyFill="1" applyBorder="1" applyAlignment="1">
      <alignment horizontal="center"/>
    </xf>
    <xf numFmtId="0" fontId="2" fillId="17" borderId="29" xfId="0" applyFont="1" applyFill="1" applyBorder="1" applyAlignment="1">
      <alignment horizontal="center"/>
    </xf>
    <xf numFmtId="0" fontId="2" fillId="17" borderId="30" xfId="0" applyFont="1" applyFill="1" applyBorder="1" applyAlignment="1">
      <alignment horizontal="center"/>
    </xf>
    <xf numFmtId="2" fontId="0" fillId="0" borderId="31" xfId="0" applyNumberFormat="1" applyBorder="1"/>
    <xf numFmtId="2" fontId="0" fillId="0" borderId="32" xfId="0" applyNumberFormat="1" applyBorder="1"/>
    <xf numFmtId="2" fontId="0" fillId="0" borderId="39" xfId="0" applyNumberFormat="1" applyBorder="1"/>
    <xf numFmtId="0" fontId="0" fillId="17" borderId="25" xfId="0" applyFill="1" applyBorder="1"/>
    <xf numFmtId="0" fontId="0" fillId="0" borderId="56" xfId="0" applyBorder="1"/>
    <xf numFmtId="0" fontId="0" fillId="0" borderId="48" xfId="0" applyBorder="1"/>
    <xf numFmtId="0" fontId="2" fillId="17" borderId="44" xfId="0" applyFont="1" applyFill="1" applyBorder="1" applyAlignment="1">
      <alignment horizontal="center"/>
    </xf>
  </cellXfs>
  <cellStyles count="2">
    <cellStyle name="Normal" xfId="0" builtinId="0"/>
    <cellStyle name="Normal 2" xfId="1" xr:uid="{D3EA24CA-4ADA-4554-8850-7BF35F6F0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160019</xdr:rowOff>
    </xdr:from>
    <xdr:to>
      <xdr:col>0</xdr:col>
      <xdr:colOff>718313</xdr:colOff>
      <xdr:row>4</xdr:row>
      <xdr:rowOff>38100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5327FB6-72F8-4A5C-9673-A86070664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160019"/>
          <a:ext cx="611633" cy="655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10</xdr:row>
      <xdr:rowOff>15240</xdr:rowOff>
    </xdr:from>
    <xdr:to>
      <xdr:col>0</xdr:col>
      <xdr:colOff>998220</xdr:colOff>
      <xdr:row>13</xdr:row>
      <xdr:rowOff>190500</xdr:rowOff>
    </xdr:to>
    <xdr:sp macro="" textlink="">
      <xdr:nvSpPr>
        <xdr:cNvPr id="2" name="Rectangle 4">
          <a:extLst>
            <a:ext uri="{FF2B5EF4-FFF2-40B4-BE49-F238E27FC236}">
              <a16:creationId xmlns:a16="http://schemas.microsoft.com/office/drawing/2014/main" id="{ADDD6BC0-77F0-4B7D-BAF3-8BA7A5DA6E98}"/>
            </a:ext>
          </a:extLst>
        </xdr:cNvPr>
        <xdr:cNvSpPr>
          <a:spLocks noChangeArrowheads="1"/>
        </xdr:cNvSpPr>
      </xdr:nvSpPr>
      <xdr:spPr bwMode="auto">
        <a:xfrm>
          <a:off x="30480" y="2263140"/>
          <a:ext cx="967740" cy="76962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stretch>
            <a:fillRect/>
          </a:stretch>
        </a:blipFill>
        <a:ln w="9525">
          <a:solidFill>
            <a:srgbClr val="008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129540</xdr:colOff>
      <xdr:row>1</xdr:row>
      <xdr:rowOff>160020</xdr:rowOff>
    </xdr:from>
    <xdr:to>
      <xdr:col>0</xdr:col>
      <xdr:colOff>662940</xdr:colOff>
      <xdr:row>4</xdr:row>
      <xdr:rowOff>68580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1158D7-B47D-4ADC-BEF2-B75B80FCD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350520"/>
          <a:ext cx="533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10</xdr:row>
      <xdr:rowOff>0</xdr:rowOff>
    </xdr:from>
    <xdr:to>
      <xdr:col>0</xdr:col>
      <xdr:colOff>800100</xdr:colOff>
      <xdr:row>13</xdr:row>
      <xdr:rowOff>205740</xdr:rowOff>
    </xdr:to>
    <xdr:sp macro="" textlink="">
      <xdr:nvSpPr>
        <xdr:cNvPr id="2" name="Rectangle 4">
          <a:extLst>
            <a:ext uri="{FF2B5EF4-FFF2-40B4-BE49-F238E27FC236}">
              <a16:creationId xmlns:a16="http://schemas.microsoft.com/office/drawing/2014/main" id="{3C2CE68C-7D26-4885-ABBE-963DEF4CD73B}"/>
            </a:ext>
          </a:extLst>
        </xdr:cNvPr>
        <xdr:cNvSpPr>
          <a:spLocks noChangeArrowheads="1"/>
        </xdr:cNvSpPr>
      </xdr:nvSpPr>
      <xdr:spPr bwMode="auto">
        <a:xfrm>
          <a:off x="38100" y="2209800"/>
          <a:ext cx="762000" cy="86868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stretch>
            <a:fillRect/>
          </a:stretch>
        </a:blipFill>
        <a:ln w="9525">
          <a:solidFill>
            <a:srgbClr val="008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144780</xdr:colOff>
      <xdr:row>1</xdr:row>
      <xdr:rowOff>106680</xdr:rowOff>
    </xdr:from>
    <xdr:to>
      <xdr:col>0</xdr:col>
      <xdr:colOff>777240</xdr:colOff>
      <xdr:row>4</xdr:row>
      <xdr:rowOff>68580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7A8D29-D566-4995-9136-8BEE588EA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" y="327660"/>
          <a:ext cx="63246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10</xdr:row>
      <xdr:rowOff>15240</xdr:rowOff>
    </xdr:from>
    <xdr:to>
      <xdr:col>0</xdr:col>
      <xdr:colOff>769620</xdr:colOff>
      <xdr:row>13</xdr:row>
      <xdr:rowOff>190500</xdr:rowOff>
    </xdr:to>
    <xdr:sp macro="" textlink="">
      <xdr:nvSpPr>
        <xdr:cNvPr id="2" name="Rectangle 28">
          <a:extLst>
            <a:ext uri="{FF2B5EF4-FFF2-40B4-BE49-F238E27FC236}">
              <a16:creationId xmlns:a16="http://schemas.microsoft.com/office/drawing/2014/main" id="{7A095AB1-2958-4485-AC31-BD8E6AD7331B}"/>
            </a:ext>
          </a:extLst>
        </xdr:cNvPr>
        <xdr:cNvSpPr>
          <a:spLocks noChangeArrowheads="1"/>
        </xdr:cNvSpPr>
      </xdr:nvSpPr>
      <xdr:spPr bwMode="auto">
        <a:xfrm>
          <a:off x="22860" y="2095500"/>
          <a:ext cx="746760" cy="79248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stretch>
            <a:fillRect/>
          </a:stretch>
        </a:blipFill>
        <a:ln w="9525">
          <a:solidFill>
            <a:srgbClr val="008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236220</xdr:colOff>
      <xdr:row>2</xdr:row>
      <xdr:rowOff>76200</xdr:rowOff>
    </xdr:from>
    <xdr:to>
      <xdr:col>0</xdr:col>
      <xdr:colOff>762000</xdr:colOff>
      <xdr:row>4</xdr:row>
      <xdr:rowOff>99060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61F758-743D-4C5E-812B-3F45A1F64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" y="464820"/>
          <a:ext cx="52578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9</xdr:row>
      <xdr:rowOff>190500</xdr:rowOff>
    </xdr:from>
    <xdr:to>
      <xdr:col>0</xdr:col>
      <xdr:colOff>762000</xdr:colOff>
      <xdr:row>13</xdr:row>
      <xdr:rowOff>190500</xdr:rowOff>
    </xdr:to>
    <xdr:sp macro="" textlink="">
      <xdr:nvSpPr>
        <xdr:cNvPr id="2" name="Rectangle 4">
          <a:extLst>
            <a:ext uri="{FF2B5EF4-FFF2-40B4-BE49-F238E27FC236}">
              <a16:creationId xmlns:a16="http://schemas.microsoft.com/office/drawing/2014/main" id="{246AA2C0-940E-4FE7-B4A7-5501DBE7598B}"/>
            </a:ext>
          </a:extLst>
        </xdr:cNvPr>
        <xdr:cNvSpPr>
          <a:spLocks noChangeArrowheads="1"/>
        </xdr:cNvSpPr>
      </xdr:nvSpPr>
      <xdr:spPr bwMode="auto">
        <a:xfrm>
          <a:off x="45720" y="1996440"/>
          <a:ext cx="716280" cy="79248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stretch>
            <a:fillRect/>
          </a:stretch>
        </a:blipFill>
        <a:ln w="9525">
          <a:solidFill>
            <a:srgbClr val="008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213360</xdr:colOff>
      <xdr:row>0</xdr:row>
      <xdr:rowOff>137160</xdr:rowOff>
    </xdr:from>
    <xdr:to>
      <xdr:col>0</xdr:col>
      <xdr:colOff>746760</xdr:colOff>
      <xdr:row>3</xdr:row>
      <xdr:rowOff>45720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FE7CDB-61C5-4906-8B7F-F1025CD73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137160"/>
          <a:ext cx="53340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71D9-5AA2-45F8-98EE-2926F69BA2BE}">
  <dimension ref="A2:BB24"/>
  <sheetViews>
    <sheetView workbookViewId="0">
      <selection activeCell="F19" sqref="F19"/>
    </sheetView>
  </sheetViews>
  <sheetFormatPr baseColWidth="10" defaultRowHeight="14.4"/>
  <cols>
    <col min="1" max="1" width="11.5546875" customWidth="1"/>
    <col min="2" max="2" width="19.109375" customWidth="1"/>
    <col min="4" max="4" width="13.5546875" bestFit="1" customWidth="1"/>
  </cols>
  <sheetData>
    <row r="2" spans="1:54" ht="15.6">
      <c r="B2" s="12" t="s">
        <v>236</v>
      </c>
    </row>
    <row r="3" spans="1:54" ht="15.6">
      <c r="B3" s="12" t="s">
        <v>237</v>
      </c>
    </row>
    <row r="4" spans="1:54" ht="15.6">
      <c r="B4" s="12" t="s">
        <v>122</v>
      </c>
    </row>
    <row r="5" spans="1:54" ht="14.4" customHeight="1">
      <c r="B5" s="44" t="s">
        <v>245</v>
      </c>
    </row>
    <row r="6" spans="1:54" ht="15" thickBot="1"/>
    <row r="7" spans="1:54" s="201" customFormat="1" ht="16.2" thickBot="1">
      <c r="A7" s="227"/>
      <c r="B7" s="233"/>
      <c r="C7" s="205" t="s">
        <v>102</v>
      </c>
      <c r="D7" s="203" t="s">
        <v>104</v>
      </c>
      <c r="E7" s="203" t="s">
        <v>105</v>
      </c>
      <c r="F7" s="203" t="s">
        <v>106</v>
      </c>
      <c r="G7" s="203" t="s">
        <v>107</v>
      </c>
      <c r="H7" s="203" t="s">
        <v>108</v>
      </c>
      <c r="I7" s="203" t="s">
        <v>112</v>
      </c>
      <c r="J7" s="203" t="s">
        <v>113</v>
      </c>
      <c r="K7" s="203" t="s">
        <v>114</v>
      </c>
      <c r="L7" s="203" t="s">
        <v>115</v>
      </c>
      <c r="M7" s="203" t="s">
        <v>118</v>
      </c>
      <c r="N7" s="203" t="s">
        <v>119</v>
      </c>
      <c r="O7" s="204" t="s">
        <v>134</v>
      </c>
    </row>
    <row r="8" spans="1:54" ht="15.6" hidden="1" customHeight="1">
      <c r="A8" s="228"/>
      <c r="B8" s="234"/>
      <c r="C8" s="206"/>
      <c r="D8" s="202"/>
      <c r="E8" s="202"/>
      <c r="F8" s="202"/>
      <c r="G8" s="202"/>
      <c r="H8" s="202"/>
      <c r="I8" s="202"/>
      <c r="J8" s="202"/>
      <c r="K8" s="202"/>
      <c r="L8" s="202"/>
      <c r="M8" s="202"/>
      <c r="N8" s="202" t="s">
        <v>136</v>
      </c>
      <c r="O8" s="207" t="s">
        <v>137</v>
      </c>
    </row>
    <row r="9" spans="1:54" ht="15.6" hidden="1" customHeight="1">
      <c r="A9" s="229"/>
      <c r="B9" s="235"/>
      <c r="C9" s="212" t="s">
        <v>161</v>
      </c>
      <c r="D9" s="213" t="s">
        <v>162</v>
      </c>
      <c r="E9" s="213" t="s">
        <v>163</v>
      </c>
      <c r="F9" s="213" t="s">
        <v>164</v>
      </c>
      <c r="G9" s="213" t="s">
        <v>165</v>
      </c>
      <c r="H9" s="213" t="s">
        <v>166</v>
      </c>
      <c r="I9" s="213" t="s">
        <v>167</v>
      </c>
      <c r="J9" s="213" t="s">
        <v>168</v>
      </c>
      <c r="K9" s="213" t="s">
        <v>169</v>
      </c>
      <c r="L9" s="213" t="s">
        <v>170</v>
      </c>
      <c r="M9" s="213" t="s">
        <v>171</v>
      </c>
      <c r="N9" s="213" t="s">
        <v>172</v>
      </c>
      <c r="O9" s="214" t="s">
        <v>173</v>
      </c>
    </row>
    <row r="10" spans="1:54" s="11" customFormat="1" ht="17.399999999999999" customHeight="1">
      <c r="A10" s="230" t="s">
        <v>103</v>
      </c>
      <c r="B10" s="236" t="s">
        <v>239</v>
      </c>
      <c r="C10" s="215">
        <v>1</v>
      </c>
      <c r="D10" s="216">
        <v>1</v>
      </c>
      <c r="E10" s="216">
        <v>1</v>
      </c>
      <c r="F10" s="216">
        <v>1</v>
      </c>
      <c r="G10" s="216">
        <v>1</v>
      </c>
      <c r="H10" s="216">
        <v>1</v>
      </c>
      <c r="I10" s="216">
        <v>1</v>
      </c>
      <c r="J10" s="216">
        <v>1</v>
      </c>
      <c r="K10" s="216">
        <v>1</v>
      </c>
      <c r="L10" s="216">
        <v>0.5</v>
      </c>
      <c r="M10" s="217">
        <v>0.5</v>
      </c>
      <c r="N10" s="217">
        <v>1</v>
      </c>
      <c r="O10" s="218">
        <v>1</v>
      </c>
      <c r="P10" s="6"/>
      <c r="Q10" s="10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54" s="11" customFormat="1" ht="15.6">
      <c r="A11" s="231" t="s">
        <v>103</v>
      </c>
      <c r="B11" s="237" t="s">
        <v>240</v>
      </c>
      <c r="C11" s="219">
        <v>0</v>
      </c>
      <c r="D11" s="199">
        <v>0</v>
      </c>
      <c r="E11" s="199">
        <v>0</v>
      </c>
      <c r="F11" s="199">
        <v>0</v>
      </c>
      <c r="G11" s="199">
        <v>0</v>
      </c>
      <c r="H11" s="199">
        <v>0</v>
      </c>
      <c r="I11" s="199">
        <v>1</v>
      </c>
      <c r="J11" s="199">
        <v>0.5</v>
      </c>
      <c r="K11" s="199">
        <v>0.5</v>
      </c>
      <c r="L11" s="199">
        <v>0.5</v>
      </c>
      <c r="M11" s="200">
        <v>0.5</v>
      </c>
      <c r="N11" s="200">
        <v>0</v>
      </c>
      <c r="O11" s="208">
        <v>0</v>
      </c>
      <c r="P11" s="6"/>
      <c r="Q11" s="10"/>
      <c r="R11" s="10"/>
      <c r="S11" s="10"/>
      <c r="T11" s="10"/>
      <c r="U11" s="10"/>
      <c r="V11" s="10"/>
      <c r="W11" s="10"/>
      <c r="X11" s="10"/>
      <c r="Y11" s="10"/>
      <c r="Z11" s="6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6"/>
      <c r="AZ11" s="176"/>
      <c r="BA11" s="174"/>
      <c r="BB11" s="175"/>
    </row>
    <row r="12" spans="1:54" s="11" customFormat="1" ht="15.6">
      <c r="A12" s="231" t="s">
        <v>103</v>
      </c>
      <c r="B12" s="237" t="s">
        <v>238</v>
      </c>
      <c r="C12" s="219">
        <v>0.5</v>
      </c>
      <c r="D12" s="199">
        <v>0.5</v>
      </c>
      <c r="E12" s="199">
        <v>0.5</v>
      </c>
      <c r="F12" s="199">
        <v>0.5</v>
      </c>
      <c r="G12" s="199">
        <v>1</v>
      </c>
      <c r="H12" s="199">
        <v>0.5</v>
      </c>
      <c r="I12" s="199">
        <v>2.5</v>
      </c>
      <c r="J12" s="199">
        <v>0.5</v>
      </c>
      <c r="K12" s="199">
        <v>1.5</v>
      </c>
      <c r="L12" s="199">
        <v>1.5</v>
      </c>
      <c r="M12" s="200">
        <v>2</v>
      </c>
      <c r="N12" s="200">
        <v>0.5</v>
      </c>
      <c r="O12" s="208">
        <v>0.5</v>
      </c>
      <c r="P12" s="6"/>
      <c r="Q12" s="10"/>
    </row>
    <row r="13" spans="1:54" ht="16.2" thickBot="1">
      <c r="A13" s="232" t="s">
        <v>103</v>
      </c>
      <c r="B13" s="238" t="s">
        <v>241</v>
      </c>
      <c r="C13" s="220">
        <v>1.5</v>
      </c>
      <c r="D13" s="209">
        <v>1.5</v>
      </c>
      <c r="E13" s="209">
        <v>1.5</v>
      </c>
      <c r="F13" s="209">
        <v>1.5</v>
      </c>
      <c r="G13" s="209">
        <v>1.5</v>
      </c>
      <c r="H13" s="209">
        <v>2</v>
      </c>
      <c r="I13" s="209">
        <v>2</v>
      </c>
      <c r="J13" s="209">
        <v>1.5</v>
      </c>
      <c r="K13" s="209">
        <v>1.5</v>
      </c>
      <c r="L13" s="209">
        <v>2</v>
      </c>
      <c r="M13" s="210">
        <v>2</v>
      </c>
      <c r="N13" s="210">
        <v>1.5</v>
      </c>
      <c r="O13" s="211">
        <v>1.5</v>
      </c>
    </row>
    <row r="16" spans="1:54" ht="15" thickBot="1"/>
    <row r="17" spans="3:11" ht="18.600000000000001" thickBot="1">
      <c r="C17" s="222" t="s">
        <v>249</v>
      </c>
      <c r="D17" s="246" t="s">
        <v>251</v>
      </c>
      <c r="E17" s="222" t="s">
        <v>252</v>
      </c>
      <c r="F17" s="269" t="s">
        <v>285</v>
      </c>
      <c r="G17" s="262" t="s">
        <v>250</v>
      </c>
      <c r="H17" s="245" t="s">
        <v>253</v>
      </c>
      <c r="I17" s="245" t="s">
        <v>254</v>
      </c>
      <c r="J17" s="245" t="s">
        <v>255</v>
      </c>
      <c r="K17" s="269" t="s">
        <v>285</v>
      </c>
    </row>
    <row r="18" spans="3:11" ht="15.6">
      <c r="C18" s="241" t="s">
        <v>248</v>
      </c>
      <c r="D18" s="247">
        <v>1.5</v>
      </c>
      <c r="E18" s="250">
        <f>D18*0.5</f>
        <v>0.75</v>
      </c>
      <c r="F18" s="270"/>
      <c r="G18" s="264">
        <v>12</v>
      </c>
      <c r="H18" s="265">
        <v>0.02</v>
      </c>
      <c r="I18" s="216">
        <f>H18*$E$20</f>
        <v>16380</v>
      </c>
      <c r="J18" s="244">
        <f>I18/5</f>
        <v>3276</v>
      </c>
      <c r="K18" s="244">
        <f>J18/12</f>
        <v>273</v>
      </c>
    </row>
    <row r="19" spans="3:11" ht="15.6">
      <c r="C19" s="223" t="s">
        <v>246</v>
      </c>
      <c r="D19" s="248">
        <f>D18*1000</f>
        <v>1500</v>
      </c>
      <c r="E19" s="225">
        <f>D19*0.5</f>
        <v>750</v>
      </c>
      <c r="F19" s="270"/>
      <c r="G19" s="239">
        <v>24</v>
      </c>
      <c r="H19" s="263">
        <v>0.05</v>
      </c>
      <c r="I19" s="199">
        <f>H19*$E$20</f>
        <v>40950</v>
      </c>
      <c r="J19" s="242">
        <f t="shared" ref="J19:J20" si="0">I19/5</f>
        <v>8190</v>
      </c>
      <c r="K19" s="242">
        <f>J19/12</f>
        <v>682.5</v>
      </c>
    </row>
    <row r="20" spans="3:11" ht="16.2" thickBot="1">
      <c r="C20" s="224" t="s">
        <v>247</v>
      </c>
      <c r="D20" s="249">
        <f>D19*Valores!$B$4</f>
        <v>1638000</v>
      </c>
      <c r="E20" s="226">
        <f>D20*0.5</f>
        <v>819000</v>
      </c>
      <c r="F20" s="209">
        <f>E20/12</f>
        <v>68250</v>
      </c>
      <c r="G20" s="240">
        <v>36</v>
      </c>
      <c r="H20" s="266">
        <v>0.1</v>
      </c>
      <c r="I20" s="209">
        <f>H20*$E$20</f>
        <v>81900</v>
      </c>
      <c r="J20" s="243">
        <f t="shared" si="0"/>
        <v>16380</v>
      </c>
      <c r="K20" s="243">
        <f>J20/12</f>
        <v>1365</v>
      </c>
    </row>
    <row r="21" spans="3:11" ht="15" thickBot="1"/>
    <row r="22" spans="3:11">
      <c r="C22" s="259" t="s">
        <v>251</v>
      </c>
      <c r="D22" s="256" t="s">
        <v>258</v>
      </c>
      <c r="E22" s="251"/>
      <c r="F22" s="256" t="s">
        <v>256</v>
      </c>
      <c r="G22" s="251"/>
    </row>
    <row r="23" spans="3:11">
      <c r="C23" s="260" t="s">
        <v>252</v>
      </c>
      <c r="D23" s="257" t="s">
        <v>259</v>
      </c>
      <c r="E23" s="253"/>
      <c r="F23" s="257" t="s">
        <v>257</v>
      </c>
      <c r="G23" s="253"/>
    </row>
    <row r="24" spans="3:11" ht="15" thickBot="1">
      <c r="C24" s="261" t="s">
        <v>253</v>
      </c>
      <c r="D24" s="258" t="s">
        <v>260</v>
      </c>
      <c r="E24" s="255"/>
      <c r="F24" s="258" t="s">
        <v>261</v>
      </c>
      <c r="G24" s="255"/>
    </row>
  </sheetData>
  <mergeCells count="6">
    <mergeCell ref="F24:G24"/>
    <mergeCell ref="F22:G22"/>
    <mergeCell ref="F23:G23"/>
    <mergeCell ref="D24:E24"/>
    <mergeCell ref="D22:E22"/>
    <mergeCell ref="D23:E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4B67-4C48-4620-937D-9DA5E893BBFE}">
  <dimension ref="A1:U38"/>
  <sheetViews>
    <sheetView zoomScale="99" zoomScaleNormal="99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G22" sqref="G22"/>
    </sheetView>
  </sheetViews>
  <sheetFormatPr baseColWidth="10" defaultRowHeight="14.4"/>
  <cols>
    <col min="1" max="2" width="11.5546875" style="267"/>
    <col min="3" max="5" width="11.5546875" style="268"/>
    <col min="6" max="6" width="12.109375" style="268" bestFit="1" customWidth="1"/>
    <col min="7" max="7" width="12.109375" style="268" customWidth="1"/>
    <col min="21" max="21" width="12.21875" bestFit="1" customWidth="1"/>
  </cols>
  <sheetData>
    <row r="1" spans="1:21" ht="15" thickBot="1">
      <c r="A1" s="271" t="s">
        <v>262</v>
      </c>
      <c r="B1" s="271" t="s">
        <v>263</v>
      </c>
      <c r="C1" s="272" t="s">
        <v>253</v>
      </c>
      <c r="D1" s="272" t="s">
        <v>286</v>
      </c>
      <c r="E1" s="272" t="s">
        <v>282</v>
      </c>
      <c r="F1" s="273" t="s">
        <v>283</v>
      </c>
      <c r="G1" s="273" t="s">
        <v>284</v>
      </c>
      <c r="H1" s="271" t="s">
        <v>276</v>
      </c>
      <c r="I1" s="274" t="s">
        <v>277</v>
      </c>
      <c r="J1" s="275" t="s">
        <v>278</v>
      </c>
      <c r="K1" s="274" t="s">
        <v>6</v>
      </c>
      <c r="L1" s="274" t="s">
        <v>279</v>
      </c>
      <c r="M1" s="274" t="s">
        <v>280</v>
      </c>
      <c r="N1" s="274" t="s">
        <v>9</v>
      </c>
      <c r="O1" s="274" t="s">
        <v>281</v>
      </c>
      <c r="P1" s="274" t="s">
        <v>293</v>
      </c>
      <c r="Q1" s="274" t="s">
        <v>296</v>
      </c>
      <c r="R1" s="275" t="s">
        <v>43</v>
      </c>
      <c r="S1" s="274" t="s">
        <v>12</v>
      </c>
      <c r="T1" s="275" t="s">
        <v>294</v>
      </c>
      <c r="U1" s="274" t="s">
        <v>295</v>
      </c>
    </row>
    <row r="2" spans="1:21">
      <c r="A2" s="292">
        <v>2026</v>
      </c>
      <c r="B2" s="293" t="s">
        <v>265</v>
      </c>
      <c r="C2" s="294">
        <f>E2/Mercado!F20</f>
        <v>3.663003663003663E-3</v>
      </c>
      <c r="D2" s="295"/>
      <c r="E2" s="295">
        <f>G2*5</f>
        <v>250</v>
      </c>
      <c r="F2" s="295">
        <f>E2</f>
        <v>250</v>
      </c>
      <c r="G2" s="295">
        <v>50</v>
      </c>
      <c r="H2" s="296">
        <f>G2*Valores!$D$7</f>
        <v>181363.63636363635</v>
      </c>
      <c r="I2" s="296">
        <f>G2*Valores!$D$9</f>
        <v>112500</v>
      </c>
      <c r="J2" s="296">
        <f>H2-I2</f>
        <v>68863.636363636353</v>
      </c>
      <c r="K2" s="296">
        <f>H2*'P&amp;L'!$B$22</f>
        <v>9068.181818181818</v>
      </c>
      <c r="L2" s="296">
        <f>H2*'P&amp;L'!$B$29</f>
        <v>3627.272727272727</v>
      </c>
      <c r="M2" s="296">
        <f>H2*'P&amp;L'!$B$35</f>
        <v>4534.090909090909</v>
      </c>
      <c r="N2" s="296">
        <f>H2*'P&amp;L'!$B$41</f>
        <v>14509.090909090908</v>
      </c>
      <c r="O2" s="296">
        <f>H2*'P&amp;L'!$B$46</f>
        <v>9068.181818181818</v>
      </c>
      <c r="P2" s="296">
        <f>SUM(K2:O2)</f>
        <v>40806.818181818177</v>
      </c>
      <c r="Q2" s="297">
        <f>P2/H2</f>
        <v>0.22499999999999998</v>
      </c>
      <c r="R2" s="296">
        <f>J2-P2</f>
        <v>28056.818181818177</v>
      </c>
      <c r="S2" s="296">
        <f>R2*0.25</f>
        <v>7014.2045454545441</v>
      </c>
      <c r="T2" s="296">
        <f>R2-S2</f>
        <v>21042.613636363632</v>
      </c>
      <c r="U2" s="298">
        <f>T2/H2</f>
        <v>0.11602443609022554</v>
      </c>
    </row>
    <row r="3" spans="1:21">
      <c r="A3" s="299">
        <v>2026</v>
      </c>
      <c r="B3" s="300" t="s">
        <v>266</v>
      </c>
      <c r="C3" s="301">
        <f>C2*D3</f>
        <v>4.578754578754579E-3</v>
      </c>
      <c r="D3" s="302">
        <v>1.25</v>
      </c>
      <c r="E3" s="302">
        <f t="shared" ref="E3:E4" si="0">E2*D3</f>
        <v>312.5</v>
      </c>
      <c r="F3" s="302">
        <f>F2+E3</f>
        <v>562.5</v>
      </c>
      <c r="G3" s="302">
        <f>E3/5</f>
        <v>62.5</v>
      </c>
      <c r="H3" s="303">
        <f>G3*Valores!$D$7</f>
        <v>226704.54545454544</v>
      </c>
      <c r="I3" s="303">
        <f>G3*Valores!$D$9</f>
        <v>140625</v>
      </c>
      <c r="J3" s="303">
        <f t="shared" ref="J3:J38" si="1">H3-I3</f>
        <v>86079.545454545441</v>
      </c>
      <c r="K3" s="303">
        <f>H3*'P&amp;L'!$B$22</f>
        <v>11335.227272727272</v>
      </c>
      <c r="L3" s="303">
        <f>H3*'P&amp;L'!$B$29</f>
        <v>4534.090909090909</v>
      </c>
      <c r="M3" s="303">
        <f>H3*'P&amp;L'!$B$35</f>
        <v>5667.613636363636</v>
      </c>
      <c r="N3" s="303">
        <f>H3*'P&amp;L'!$B$41</f>
        <v>18136.363636363636</v>
      </c>
      <c r="O3" s="303">
        <f>H3*'P&amp;L'!$B$46</f>
        <v>11335.227272727272</v>
      </c>
      <c r="P3" s="303">
        <f t="shared" ref="P3:P38" si="2">SUM(K3:O3)</f>
        <v>51008.522727272728</v>
      </c>
      <c r="Q3" s="304">
        <f t="shared" ref="Q3:Q38" si="3">P3/H3</f>
        <v>0.22500000000000001</v>
      </c>
      <c r="R3" s="303">
        <f t="shared" ref="R3:R38" si="4">J3-P3</f>
        <v>35071.022727272713</v>
      </c>
      <c r="S3" s="303">
        <f t="shared" ref="S3:S38" si="5">R3*0.25</f>
        <v>8767.7556818181783</v>
      </c>
      <c r="T3" s="303">
        <f t="shared" ref="T3:T38" si="6">R3-S3</f>
        <v>26303.267045454537</v>
      </c>
      <c r="U3" s="305">
        <f t="shared" ref="U3:U38" si="7">T3/H3</f>
        <v>0.11602443609022553</v>
      </c>
    </row>
    <row r="4" spans="1:21" ht="15" thickBot="1">
      <c r="A4" s="306">
        <v>2026</v>
      </c>
      <c r="B4" s="307" t="s">
        <v>267</v>
      </c>
      <c r="C4" s="308">
        <f t="shared" ref="C4:C38" si="8">C3*D4</f>
        <v>5.6318681318681318E-3</v>
      </c>
      <c r="D4" s="309">
        <v>1.23</v>
      </c>
      <c r="E4" s="309">
        <f t="shared" si="0"/>
        <v>384.375</v>
      </c>
      <c r="F4" s="309">
        <f t="shared" ref="F4" si="9">F3+E4</f>
        <v>946.875</v>
      </c>
      <c r="G4" s="309">
        <f t="shared" ref="G4:G38" si="10">E4/5</f>
        <v>76.875</v>
      </c>
      <c r="H4" s="310">
        <f>G4*Valores!$D$7</f>
        <v>278846.59090909088</v>
      </c>
      <c r="I4" s="310">
        <f>G4*Valores!$D$9</f>
        <v>172968.75</v>
      </c>
      <c r="J4" s="310">
        <f t="shared" si="1"/>
        <v>105877.84090909088</v>
      </c>
      <c r="K4" s="310">
        <f>H4*'P&amp;L'!$B$22</f>
        <v>13942.329545454544</v>
      </c>
      <c r="L4" s="310">
        <f>H4*'P&amp;L'!$B$29</f>
        <v>5576.931818181818</v>
      </c>
      <c r="M4" s="310">
        <f>H4*'P&amp;L'!$B$35</f>
        <v>6971.1647727272721</v>
      </c>
      <c r="N4" s="310">
        <f>H4*'P&amp;L'!$B$41</f>
        <v>22307.727272727272</v>
      </c>
      <c r="O4" s="310">
        <f>H4*'P&amp;L'!$B$46</f>
        <v>13942.329545454544</v>
      </c>
      <c r="P4" s="310">
        <f t="shared" si="2"/>
        <v>62740.482954545449</v>
      </c>
      <c r="Q4" s="311">
        <f t="shared" si="3"/>
        <v>0.22500000000000001</v>
      </c>
      <c r="R4" s="310">
        <f t="shared" si="4"/>
        <v>43137.357954545434</v>
      </c>
      <c r="S4" s="310">
        <f t="shared" si="5"/>
        <v>10784.339488636359</v>
      </c>
      <c r="T4" s="310">
        <f t="shared" si="6"/>
        <v>32353.018465909074</v>
      </c>
      <c r="U4" s="312">
        <f t="shared" si="7"/>
        <v>0.11602443609022552</v>
      </c>
    </row>
    <row r="5" spans="1:21">
      <c r="A5" s="292">
        <v>2026</v>
      </c>
      <c r="B5" s="293" t="s">
        <v>268</v>
      </c>
      <c r="C5" s="294">
        <f t="shared" si="8"/>
        <v>6.4766483516483508E-3</v>
      </c>
      <c r="D5" s="295">
        <v>1.1499999999999999</v>
      </c>
      <c r="E5" s="295">
        <f t="shared" ref="E5:E10" si="11">E4*D5</f>
        <v>442.03124999999994</v>
      </c>
      <c r="F5" s="295">
        <f t="shared" ref="F5:F10" si="12">F4+E5</f>
        <v>1388.90625</v>
      </c>
      <c r="G5" s="295">
        <f t="shared" si="10"/>
        <v>88.406249999999986</v>
      </c>
      <c r="H5" s="296">
        <f>G5*Valores!$D$7</f>
        <v>320673.57954545447</v>
      </c>
      <c r="I5" s="296">
        <f>G5*Valores!$D$9</f>
        <v>198914.06249999997</v>
      </c>
      <c r="J5" s="296">
        <f t="shared" si="1"/>
        <v>121759.5170454545</v>
      </c>
      <c r="K5" s="296">
        <f>H5*'P&amp;L'!$B$22</f>
        <v>16033.678977272724</v>
      </c>
      <c r="L5" s="296">
        <f>H5*'P&amp;L'!$B$29</f>
        <v>6413.4715909090892</v>
      </c>
      <c r="M5" s="296">
        <f>H5*'P&amp;L'!$B$35</f>
        <v>8016.8394886363621</v>
      </c>
      <c r="N5" s="296">
        <f>H5*'P&amp;L'!$B$41</f>
        <v>25653.886363636357</v>
      </c>
      <c r="O5" s="296">
        <f>H5*'P&amp;L'!$B$46</f>
        <v>16033.678977272724</v>
      </c>
      <c r="P5" s="296">
        <f t="shared" si="2"/>
        <v>72151.55539772725</v>
      </c>
      <c r="Q5" s="297">
        <f t="shared" si="3"/>
        <v>0.22499999999999998</v>
      </c>
      <c r="R5" s="296">
        <f t="shared" si="4"/>
        <v>49607.96164772725</v>
      </c>
      <c r="S5" s="296">
        <f t="shared" si="5"/>
        <v>12401.990411931813</v>
      </c>
      <c r="T5" s="296">
        <f t="shared" si="6"/>
        <v>37205.971235795441</v>
      </c>
      <c r="U5" s="298">
        <f t="shared" si="7"/>
        <v>0.11602443609022554</v>
      </c>
    </row>
    <row r="6" spans="1:21">
      <c r="A6" s="299">
        <v>2026</v>
      </c>
      <c r="B6" s="300" t="s">
        <v>269</v>
      </c>
      <c r="C6" s="301">
        <f t="shared" si="8"/>
        <v>8.0958104395604386E-3</v>
      </c>
      <c r="D6" s="302">
        <v>1.25</v>
      </c>
      <c r="E6" s="302">
        <f t="shared" si="11"/>
        <v>552.53906249999989</v>
      </c>
      <c r="F6" s="302">
        <f t="shared" si="12"/>
        <v>1941.4453125</v>
      </c>
      <c r="G6" s="302">
        <f t="shared" si="10"/>
        <v>110.50781249999997</v>
      </c>
      <c r="H6" s="303">
        <f>G6*Valores!$D$7</f>
        <v>400841.97443181806</v>
      </c>
      <c r="I6" s="303">
        <f>G6*Valores!$D$9</f>
        <v>248642.57812499994</v>
      </c>
      <c r="J6" s="303">
        <f t="shared" si="1"/>
        <v>152199.39630681812</v>
      </c>
      <c r="K6" s="303">
        <f>H6*'P&amp;L'!$B$22</f>
        <v>20042.098721590904</v>
      </c>
      <c r="L6" s="303">
        <f>H6*'P&amp;L'!$B$29</f>
        <v>8016.8394886363612</v>
      </c>
      <c r="M6" s="303">
        <f>H6*'P&amp;L'!$B$35</f>
        <v>10021.049360795452</v>
      </c>
      <c r="N6" s="303">
        <f>H6*'P&amp;L'!$B$41</f>
        <v>32067.357954545445</v>
      </c>
      <c r="O6" s="303">
        <f>H6*'P&amp;L'!$B$46</f>
        <v>20042.098721590904</v>
      </c>
      <c r="P6" s="303">
        <f t="shared" si="2"/>
        <v>90189.444247159059</v>
      </c>
      <c r="Q6" s="304">
        <f t="shared" si="3"/>
        <v>0.22499999999999998</v>
      </c>
      <c r="R6" s="303">
        <f t="shared" si="4"/>
        <v>62009.952059659059</v>
      </c>
      <c r="S6" s="303">
        <f t="shared" si="5"/>
        <v>15502.488014914765</v>
      </c>
      <c r="T6" s="303">
        <f t="shared" si="6"/>
        <v>46507.464044744294</v>
      </c>
      <c r="U6" s="305">
        <f t="shared" si="7"/>
        <v>0.11602443609022554</v>
      </c>
    </row>
    <row r="7" spans="1:21" ht="15" thickBot="1">
      <c r="A7" s="306">
        <v>2026</v>
      </c>
      <c r="B7" s="307" t="s">
        <v>270</v>
      </c>
      <c r="C7" s="308">
        <f t="shared" si="8"/>
        <v>1.052455357142857E-2</v>
      </c>
      <c r="D7" s="309">
        <v>1.3</v>
      </c>
      <c r="E7" s="309">
        <f t="shared" si="11"/>
        <v>718.30078124999989</v>
      </c>
      <c r="F7" s="309">
        <f t="shared" si="12"/>
        <v>2659.74609375</v>
      </c>
      <c r="G7" s="309">
        <f t="shared" si="10"/>
        <v>143.66015624999997</v>
      </c>
      <c r="H7" s="310">
        <f>G7*Valores!$D$7</f>
        <v>521094.56676136347</v>
      </c>
      <c r="I7" s="310">
        <f>G7*Valores!$D$9</f>
        <v>323235.35156249994</v>
      </c>
      <c r="J7" s="310">
        <f t="shared" si="1"/>
        <v>197859.21519886353</v>
      </c>
      <c r="K7" s="310">
        <f>H7*'P&amp;L'!$B$22</f>
        <v>26054.728338068177</v>
      </c>
      <c r="L7" s="310">
        <f>H7*'P&amp;L'!$B$29</f>
        <v>10421.89133522727</v>
      </c>
      <c r="M7" s="310">
        <f>H7*'P&amp;L'!$B$35</f>
        <v>13027.364169034088</v>
      </c>
      <c r="N7" s="310">
        <f>H7*'P&amp;L'!$B$41</f>
        <v>41687.565340909081</v>
      </c>
      <c r="O7" s="310">
        <f>H7*'P&amp;L'!$B$46</f>
        <v>26054.728338068177</v>
      </c>
      <c r="P7" s="310">
        <f t="shared" si="2"/>
        <v>117246.27752130679</v>
      </c>
      <c r="Q7" s="311">
        <f t="shared" si="3"/>
        <v>0.22500000000000003</v>
      </c>
      <c r="R7" s="310">
        <f t="shared" si="4"/>
        <v>80612.937677556736</v>
      </c>
      <c r="S7" s="310">
        <f t="shared" si="5"/>
        <v>20153.234419389184</v>
      </c>
      <c r="T7" s="310">
        <f t="shared" si="6"/>
        <v>60459.703258167552</v>
      </c>
      <c r="U7" s="312">
        <f t="shared" si="7"/>
        <v>0.11602443609022549</v>
      </c>
    </row>
    <row r="8" spans="1:21">
      <c r="A8" s="292">
        <v>2027</v>
      </c>
      <c r="B8" s="293" t="s">
        <v>271</v>
      </c>
      <c r="C8" s="294">
        <f t="shared" si="8"/>
        <v>1.1366517857142856E-2</v>
      </c>
      <c r="D8" s="295">
        <v>1.08</v>
      </c>
      <c r="E8" s="295">
        <f t="shared" si="11"/>
        <v>775.76484374999995</v>
      </c>
      <c r="F8" s="295">
        <f t="shared" si="12"/>
        <v>3435.5109375000002</v>
      </c>
      <c r="G8" s="295">
        <f t="shared" si="10"/>
        <v>155.15296874999999</v>
      </c>
      <c r="H8" s="296">
        <f>G8*Valores!$D$7</f>
        <v>562782.13210227259</v>
      </c>
      <c r="I8" s="296">
        <f>G8*Valores!$D$9</f>
        <v>349094.17968749994</v>
      </c>
      <c r="J8" s="296">
        <f t="shared" si="1"/>
        <v>213687.95241477265</v>
      </c>
      <c r="K8" s="296">
        <f>H8*'P&amp;L'!$B$22</f>
        <v>28139.106605113629</v>
      </c>
      <c r="L8" s="296">
        <f>H8*'P&amp;L'!$B$29</f>
        <v>11255.642642045452</v>
      </c>
      <c r="M8" s="296">
        <f>H8*'P&amp;L'!$B$35</f>
        <v>14069.553302556815</v>
      </c>
      <c r="N8" s="296">
        <f>H8*'P&amp;L'!$B$41</f>
        <v>45022.570568181807</v>
      </c>
      <c r="O8" s="296">
        <f>H8*'P&amp;L'!$B$46</f>
        <v>28139.106605113629</v>
      </c>
      <c r="P8" s="296">
        <f t="shared" si="2"/>
        <v>126625.97972301133</v>
      </c>
      <c r="Q8" s="297">
        <f t="shared" si="3"/>
        <v>0.22500000000000001</v>
      </c>
      <c r="R8" s="296">
        <f t="shared" si="4"/>
        <v>87061.972691761315</v>
      </c>
      <c r="S8" s="296">
        <f t="shared" si="5"/>
        <v>21765.493172940329</v>
      </c>
      <c r="T8" s="296">
        <f t="shared" si="6"/>
        <v>65296.479518820983</v>
      </c>
      <c r="U8" s="298">
        <f t="shared" si="7"/>
        <v>0.11602443609022552</v>
      </c>
    </row>
    <row r="9" spans="1:21">
      <c r="A9" s="299">
        <v>2027</v>
      </c>
      <c r="B9" s="300" t="s">
        <v>272</v>
      </c>
      <c r="C9" s="301">
        <f t="shared" si="8"/>
        <v>1.2389504464285715E-2</v>
      </c>
      <c r="D9" s="302">
        <v>1.0900000000000001</v>
      </c>
      <c r="E9" s="302">
        <f t="shared" si="11"/>
        <v>845.58367968749997</v>
      </c>
      <c r="F9" s="302">
        <f t="shared" si="12"/>
        <v>4281.0946171875003</v>
      </c>
      <c r="G9" s="302">
        <f t="shared" si="10"/>
        <v>169.11673593749998</v>
      </c>
      <c r="H9" s="303">
        <f>G9*Valores!$D$7</f>
        <v>613432.52399147721</v>
      </c>
      <c r="I9" s="303">
        <f>G9*Valores!$D$9</f>
        <v>380512.65585937497</v>
      </c>
      <c r="J9" s="303">
        <f t="shared" si="1"/>
        <v>232919.86813210224</v>
      </c>
      <c r="K9" s="303">
        <f>H9*'P&amp;L'!$B$22</f>
        <v>30671.626199573861</v>
      </c>
      <c r="L9" s="303">
        <f>H9*'P&amp;L'!$B$29</f>
        <v>12268.650479829545</v>
      </c>
      <c r="M9" s="303">
        <f>H9*'P&amp;L'!$B$35</f>
        <v>15335.81309978693</v>
      </c>
      <c r="N9" s="303">
        <f>H9*'P&amp;L'!$B$41</f>
        <v>49074.601919318178</v>
      </c>
      <c r="O9" s="303">
        <f>H9*'P&amp;L'!$B$46</f>
        <v>30671.626199573861</v>
      </c>
      <c r="P9" s="303">
        <f t="shared" si="2"/>
        <v>138022.31789808237</v>
      </c>
      <c r="Q9" s="304">
        <f t="shared" si="3"/>
        <v>0.22500000000000001</v>
      </c>
      <c r="R9" s="303">
        <f t="shared" si="4"/>
        <v>94897.550234019873</v>
      </c>
      <c r="S9" s="303">
        <f t="shared" si="5"/>
        <v>23724.387558504968</v>
      </c>
      <c r="T9" s="303">
        <f t="shared" si="6"/>
        <v>71173.162675514905</v>
      </c>
      <c r="U9" s="305">
        <f t="shared" si="7"/>
        <v>0.11602443609022556</v>
      </c>
    </row>
    <row r="10" spans="1:21" ht="15" thickBot="1">
      <c r="A10" s="306">
        <v>2027</v>
      </c>
      <c r="B10" s="307" t="s">
        <v>273</v>
      </c>
      <c r="C10" s="308">
        <f t="shared" si="8"/>
        <v>1.3380664821428573E-2</v>
      </c>
      <c r="D10" s="309">
        <v>1.08</v>
      </c>
      <c r="E10" s="309">
        <f t="shared" si="11"/>
        <v>913.2303740625</v>
      </c>
      <c r="F10" s="309">
        <f t="shared" si="12"/>
        <v>5194.3249912500005</v>
      </c>
      <c r="G10" s="309">
        <f t="shared" si="10"/>
        <v>182.64607481249999</v>
      </c>
      <c r="H10" s="310">
        <f>G10*Valores!$D$7</f>
        <v>662507.12591079541</v>
      </c>
      <c r="I10" s="310">
        <f>G10*Valores!$D$9</f>
        <v>410953.66832812497</v>
      </c>
      <c r="J10" s="310">
        <f t="shared" si="1"/>
        <v>251553.45758267044</v>
      </c>
      <c r="K10" s="310">
        <f>H10*'P&amp;L'!$B$22</f>
        <v>33125.356295539772</v>
      </c>
      <c r="L10" s="310">
        <f>H10*'P&amp;L'!$B$29</f>
        <v>13250.142518215909</v>
      </c>
      <c r="M10" s="310">
        <f>H10*'P&amp;L'!$B$35</f>
        <v>16562.678147769886</v>
      </c>
      <c r="N10" s="310">
        <f>H10*'P&amp;L'!$B$41</f>
        <v>53000.570072863637</v>
      </c>
      <c r="O10" s="310">
        <f>H10*'P&amp;L'!$B$46</f>
        <v>33125.356295539772</v>
      </c>
      <c r="P10" s="310">
        <f t="shared" si="2"/>
        <v>149064.10332992897</v>
      </c>
      <c r="Q10" s="311">
        <f t="shared" si="3"/>
        <v>0.22500000000000001</v>
      </c>
      <c r="R10" s="310">
        <f t="shared" si="4"/>
        <v>102489.35425274147</v>
      </c>
      <c r="S10" s="310">
        <f t="shared" si="5"/>
        <v>25622.338563185367</v>
      </c>
      <c r="T10" s="310">
        <f t="shared" si="6"/>
        <v>76867.015689556109</v>
      </c>
      <c r="U10" s="312">
        <f t="shared" si="7"/>
        <v>0.11602443609022557</v>
      </c>
    </row>
    <row r="11" spans="1:21">
      <c r="A11" s="292">
        <v>2027</v>
      </c>
      <c r="B11" s="293" t="s">
        <v>274</v>
      </c>
      <c r="C11" s="294">
        <f t="shared" si="8"/>
        <v>1.4584924655357146E-2</v>
      </c>
      <c r="D11" s="295">
        <v>1.0900000000000001</v>
      </c>
      <c r="E11" s="295">
        <f t="shared" ref="E11:E31" si="13">E10*D11</f>
        <v>995.42110772812509</v>
      </c>
      <c r="F11" s="295">
        <f t="shared" ref="F11:F31" si="14">F10+E11</f>
        <v>6189.7460989781257</v>
      </c>
      <c r="G11" s="295">
        <f t="shared" si="10"/>
        <v>199.08422154562501</v>
      </c>
      <c r="H11" s="296">
        <f>G11*Valores!$D$7</f>
        <v>722132.76724276703</v>
      </c>
      <c r="I11" s="296">
        <f>G11*Valores!$D$9</f>
        <v>447939.49847765628</v>
      </c>
      <c r="J11" s="296">
        <f t="shared" si="1"/>
        <v>274193.26876511076</v>
      </c>
      <c r="K11" s="296">
        <f>H11*'P&amp;L'!$B$22</f>
        <v>36106.63836213835</v>
      </c>
      <c r="L11" s="296">
        <f>H11*'P&amp;L'!$B$29</f>
        <v>14442.65534485534</v>
      </c>
      <c r="M11" s="296">
        <f>H11*'P&amp;L'!$B$35</f>
        <v>18053.319181069175</v>
      </c>
      <c r="N11" s="296">
        <f>H11*'P&amp;L'!$B$41</f>
        <v>57770.621379421362</v>
      </c>
      <c r="O11" s="296">
        <f>H11*'P&amp;L'!$B$46</f>
        <v>36106.63836213835</v>
      </c>
      <c r="P11" s="296">
        <f t="shared" si="2"/>
        <v>162479.87262962258</v>
      </c>
      <c r="Q11" s="297">
        <f t="shared" si="3"/>
        <v>0.22500000000000001</v>
      </c>
      <c r="R11" s="296">
        <f t="shared" si="4"/>
        <v>111713.39613548818</v>
      </c>
      <c r="S11" s="296">
        <f t="shared" si="5"/>
        <v>27928.349033872044</v>
      </c>
      <c r="T11" s="296">
        <f t="shared" si="6"/>
        <v>83785.047101616132</v>
      </c>
      <c r="U11" s="298">
        <f t="shared" si="7"/>
        <v>0.11602443609022553</v>
      </c>
    </row>
    <row r="12" spans="1:21">
      <c r="A12" s="299">
        <v>2027</v>
      </c>
      <c r="B12" s="300" t="s">
        <v>275</v>
      </c>
      <c r="C12" s="301">
        <f t="shared" si="8"/>
        <v>1.6043417120892862E-2</v>
      </c>
      <c r="D12" s="302">
        <v>1.1000000000000001</v>
      </c>
      <c r="E12" s="302">
        <f t="shared" si="13"/>
        <v>1094.9632185009377</v>
      </c>
      <c r="F12" s="302">
        <f t="shared" si="14"/>
        <v>7284.7093174790634</v>
      </c>
      <c r="G12" s="302">
        <f t="shared" si="10"/>
        <v>218.99264370018756</v>
      </c>
      <c r="H12" s="303">
        <f>G12*Valores!$D$7</f>
        <v>794346.04396704386</v>
      </c>
      <c r="I12" s="303">
        <f>G12*Valores!$D$9</f>
        <v>492733.44832542201</v>
      </c>
      <c r="J12" s="303">
        <f t="shared" si="1"/>
        <v>301612.59564162185</v>
      </c>
      <c r="K12" s="303">
        <f>H12*'P&amp;L'!$B$22</f>
        <v>39717.302198352198</v>
      </c>
      <c r="L12" s="303">
        <f>H12*'P&amp;L'!$B$29</f>
        <v>15886.920879340878</v>
      </c>
      <c r="M12" s="303">
        <f>H12*'P&amp;L'!$B$35</f>
        <v>19858.651099176099</v>
      </c>
      <c r="N12" s="303">
        <f>H12*'P&amp;L'!$B$41</f>
        <v>63547.683517363512</v>
      </c>
      <c r="O12" s="303">
        <f>H12*'P&amp;L'!$B$46</f>
        <v>39717.302198352198</v>
      </c>
      <c r="P12" s="303">
        <f t="shared" si="2"/>
        <v>178727.85989258488</v>
      </c>
      <c r="Q12" s="304">
        <f t="shared" si="3"/>
        <v>0.22500000000000001</v>
      </c>
      <c r="R12" s="303">
        <f t="shared" si="4"/>
        <v>122884.73574903698</v>
      </c>
      <c r="S12" s="303">
        <f t="shared" si="5"/>
        <v>30721.183937259244</v>
      </c>
      <c r="T12" s="303">
        <f t="shared" si="6"/>
        <v>92163.551811777725</v>
      </c>
      <c r="U12" s="305">
        <f t="shared" si="7"/>
        <v>0.11602443609022549</v>
      </c>
    </row>
    <row r="13" spans="1:21" ht="15" thickBot="1">
      <c r="A13" s="306">
        <v>2027</v>
      </c>
      <c r="B13" s="307" t="s">
        <v>264</v>
      </c>
      <c r="C13" s="308">
        <f t="shared" si="8"/>
        <v>1.7808193004191078E-2</v>
      </c>
      <c r="D13" s="309">
        <v>1.1100000000000001</v>
      </c>
      <c r="E13" s="309">
        <f t="shared" si="13"/>
        <v>1215.4091725360411</v>
      </c>
      <c r="F13" s="309">
        <f t="shared" si="14"/>
        <v>8500.1184900151038</v>
      </c>
      <c r="G13" s="309">
        <f t="shared" si="10"/>
        <v>243.08183450720821</v>
      </c>
      <c r="H13" s="310">
        <f>G13*Valores!$D$7</f>
        <v>881724.10880341881</v>
      </c>
      <c r="I13" s="310">
        <f>G13*Valores!$D$9</f>
        <v>546934.12764121848</v>
      </c>
      <c r="J13" s="310">
        <f t="shared" si="1"/>
        <v>334789.98116220033</v>
      </c>
      <c r="K13" s="310">
        <f>H13*'P&amp;L'!$B$22</f>
        <v>44086.205440170947</v>
      </c>
      <c r="L13" s="310">
        <f>H13*'P&amp;L'!$B$29</f>
        <v>17634.482176068377</v>
      </c>
      <c r="M13" s="310">
        <f>H13*'P&amp;L'!$B$35</f>
        <v>22043.102720085473</v>
      </c>
      <c r="N13" s="310">
        <f>H13*'P&amp;L'!$B$41</f>
        <v>70537.928704273509</v>
      </c>
      <c r="O13" s="310">
        <f>H13*'P&amp;L'!$B$46</f>
        <v>44086.205440170947</v>
      </c>
      <c r="P13" s="310">
        <f t="shared" si="2"/>
        <v>198387.92448076926</v>
      </c>
      <c r="Q13" s="311">
        <f t="shared" si="3"/>
        <v>0.22500000000000003</v>
      </c>
      <c r="R13" s="310">
        <f t="shared" si="4"/>
        <v>136402.05668143107</v>
      </c>
      <c r="S13" s="310">
        <f t="shared" si="5"/>
        <v>34100.514170357768</v>
      </c>
      <c r="T13" s="310">
        <f t="shared" si="6"/>
        <v>102301.5425110733</v>
      </c>
      <c r="U13" s="312">
        <f t="shared" si="7"/>
        <v>0.1160244360902255</v>
      </c>
    </row>
    <row r="14" spans="1:21">
      <c r="A14" s="313">
        <v>2027</v>
      </c>
      <c r="B14" s="314" t="s">
        <v>265</v>
      </c>
      <c r="C14" s="315">
        <f t="shared" si="8"/>
        <v>1.994517616469401E-2</v>
      </c>
      <c r="D14" s="316">
        <v>1.1200000000000001</v>
      </c>
      <c r="E14" s="316">
        <f t="shared" si="13"/>
        <v>1361.2582732403662</v>
      </c>
      <c r="F14" s="316">
        <f t="shared" si="14"/>
        <v>9861.37676325547</v>
      </c>
      <c r="G14" s="316">
        <f t="shared" si="10"/>
        <v>272.25165464807321</v>
      </c>
      <c r="H14" s="317">
        <f>G14*Valores!$D$7</f>
        <v>987531.00185982918</v>
      </c>
      <c r="I14" s="317">
        <f>G14*Valores!$D$9</f>
        <v>612566.22295816476</v>
      </c>
      <c r="J14" s="317">
        <f t="shared" si="1"/>
        <v>374964.77890166442</v>
      </c>
      <c r="K14" s="317">
        <f>H14*'P&amp;L'!$B$22</f>
        <v>49376.550092991463</v>
      </c>
      <c r="L14" s="317">
        <f>H14*'P&amp;L'!$B$29</f>
        <v>19750.620037196582</v>
      </c>
      <c r="M14" s="317">
        <f>H14*'P&amp;L'!$B$35</f>
        <v>24688.275046495732</v>
      </c>
      <c r="N14" s="317">
        <f>H14*'P&amp;L'!$B$41</f>
        <v>79002.48014878633</v>
      </c>
      <c r="O14" s="317">
        <f>H14*'P&amp;L'!$B$46</f>
        <v>49376.550092991463</v>
      </c>
      <c r="P14" s="317">
        <f t="shared" si="2"/>
        <v>222194.47541846157</v>
      </c>
      <c r="Q14" s="318">
        <f t="shared" si="3"/>
        <v>0.22500000000000001</v>
      </c>
      <c r="R14" s="317">
        <f t="shared" si="4"/>
        <v>152770.30348320285</v>
      </c>
      <c r="S14" s="317">
        <f t="shared" si="5"/>
        <v>38192.575870800712</v>
      </c>
      <c r="T14" s="317">
        <f t="shared" si="6"/>
        <v>114577.72761240214</v>
      </c>
      <c r="U14" s="319">
        <f t="shared" si="7"/>
        <v>0.11602443609022553</v>
      </c>
    </row>
    <row r="15" spans="1:21">
      <c r="A15" s="299">
        <v>2027</v>
      </c>
      <c r="B15" s="300" t="s">
        <v>266</v>
      </c>
      <c r="C15" s="301">
        <f t="shared" si="8"/>
        <v>2.1141886734575652E-2</v>
      </c>
      <c r="D15" s="302">
        <v>1.06</v>
      </c>
      <c r="E15" s="302">
        <f t="shared" si="13"/>
        <v>1442.9337696347882</v>
      </c>
      <c r="F15" s="302">
        <f t="shared" si="14"/>
        <v>11304.310532890258</v>
      </c>
      <c r="G15" s="302">
        <f t="shared" si="10"/>
        <v>288.58675392695761</v>
      </c>
      <c r="H15" s="303">
        <f>G15*Valores!$D$7</f>
        <v>1046782.861971419</v>
      </c>
      <c r="I15" s="303">
        <f>G15*Valores!$D$9</f>
        <v>649320.19633565459</v>
      </c>
      <c r="J15" s="303">
        <f t="shared" si="1"/>
        <v>397462.66563576437</v>
      </c>
      <c r="K15" s="303">
        <f>H15*'P&amp;L'!$B$22</f>
        <v>52339.143098570952</v>
      </c>
      <c r="L15" s="303">
        <f>H15*'P&amp;L'!$B$29</f>
        <v>20935.657239428379</v>
      </c>
      <c r="M15" s="303">
        <f>H15*'P&amp;L'!$B$35</f>
        <v>26169.571549285476</v>
      </c>
      <c r="N15" s="303">
        <f>H15*'P&amp;L'!$B$41</f>
        <v>83742.628957713518</v>
      </c>
      <c r="O15" s="303">
        <f>H15*'P&amp;L'!$B$46</f>
        <v>52339.143098570952</v>
      </c>
      <c r="P15" s="303">
        <f t="shared" si="2"/>
        <v>235526.1439435693</v>
      </c>
      <c r="Q15" s="304">
        <f t="shared" si="3"/>
        <v>0.22500000000000003</v>
      </c>
      <c r="R15" s="303">
        <f t="shared" si="4"/>
        <v>161936.52169219506</v>
      </c>
      <c r="S15" s="303">
        <f t="shared" si="5"/>
        <v>40484.130423048766</v>
      </c>
      <c r="T15" s="303">
        <f t="shared" si="6"/>
        <v>121452.39126914629</v>
      </c>
      <c r="U15" s="305">
        <f t="shared" si="7"/>
        <v>0.11602443609022554</v>
      </c>
    </row>
    <row r="16" spans="1:21" ht="15" thickBot="1">
      <c r="A16" s="306">
        <v>2027</v>
      </c>
      <c r="B16" s="307" t="s">
        <v>267</v>
      </c>
      <c r="C16" s="308">
        <f t="shared" si="8"/>
        <v>2.2410399938650193E-2</v>
      </c>
      <c r="D16" s="309">
        <v>1.06</v>
      </c>
      <c r="E16" s="309">
        <f t="shared" si="13"/>
        <v>1529.5097958128756</v>
      </c>
      <c r="F16" s="309">
        <f t="shared" si="14"/>
        <v>12833.820328703134</v>
      </c>
      <c r="G16" s="309">
        <f t="shared" si="10"/>
        <v>305.90195916257511</v>
      </c>
      <c r="H16" s="310">
        <f>G16*Valores!$D$7</f>
        <v>1109589.8336897043</v>
      </c>
      <c r="I16" s="310">
        <f>G16*Valores!$D$9</f>
        <v>688279.40811579395</v>
      </c>
      <c r="J16" s="310">
        <f t="shared" si="1"/>
        <v>421310.42557391035</v>
      </c>
      <c r="K16" s="310">
        <f>H16*'P&amp;L'!$B$22</f>
        <v>55479.49168448522</v>
      </c>
      <c r="L16" s="310">
        <f>H16*'P&amp;L'!$B$29</f>
        <v>22191.796673794088</v>
      </c>
      <c r="M16" s="310">
        <f>H16*'P&amp;L'!$B$35</f>
        <v>27739.74584224261</v>
      </c>
      <c r="N16" s="310">
        <f>H16*'P&amp;L'!$B$41</f>
        <v>88767.186695176351</v>
      </c>
      <c r="O16" s="310">
        <f>H16*'P&amp;L'!$B$46</f>
        <v>55479.49168448522</v>
      </c>
      <c r="P16" s="310">
        <f t="shared" si="2"/>
        <v>249657.71258018349</v>
      </c>
      <c r="Q16" s="311">
        <f t="shared" si="3"/>
        <v>0.22500000000000003</v>
      </c>
      <c r="R16" s="310">
        <f t="shared" si="4"/>
        <v>171652.71299372686</v>
      </c>
      <c r="S16" s="310">
        <f t="shared" si="5"/>
        <v>42913.178248431715</v>
      </c>
      <c r="T16" s="310">
        <f t="shared" si="6"/>
        <v>128739.53474529515</v>
      </c>
      <c r="U16" s="312">
        <f t="shared" si="7"/>
        <v>0.1160244360902256</v>
      </c>
    </row>
    <row r="17" spans="1:21">
      <c r="A17" s="292">
        <v>2027</v>
      </c>
      <c r="B17" s="293" t="s">
        <v>268</v>
      </c>
      <c r="C17" s="294">
        <f t="shared" si="8"/>
        <v>2.3755023934969206E-2</v>
      </c>
      <c r="D17" s="295">
        <v>1.06</v>
      </c>
      <c r="E17" s="295">
        <f t="shared" si="13"/>
        <v>1621.2803835616483</v>
      </c>
      <c r="F17" s="295">
        <f t="shared" si="14"/>
        <v>14455.100712264782</v>
      </c>
      <c r="G17" s="295">
        <f t="shared" si="10"/>
        <v>324.25607671232967</v>
      </c>
      <c r="H17" s="296">
        <f>G17*Valores!$D$7</f>
        <v>1176165.2237110867</v>
      </c>
      <c r="I17" s="296">
        <f>G17*Valores!$D$9</f>
        <v>729576.17260274175</v>
      </c>
      <c r="J17" s="296">
        <f t="shared" si="1"/>
        <v>446589.05110834492</v>
      </c>
      <c r="K17" s="296">
        <f>H17*'P&amp;L'!$B$22</f>
        <v>58808.261185554336</v>
      </c>
      <c r="L17" s="296">
        <f>H17*'P&amp;L'!$B$29</f>
        <v>23523.304474221735</v>
      </c>
      <c r="M17" s="296">
        <f>H17*'P&amp;L'!$B$35</f>
        <v>29404.130592777168</v>
      </c>
      <c r="N17" s="296">
        <f>H17*'P&amp;L'!$B$41</f>
        <v>94093.217896886941</v>
      </c>
      <c r="O17" s="296">
        <f>H17*'P&amp;L'!$B$46</f>
        <v>58808.261185554336</v>
      </c>
      <c r="P17" s="296">
        <f t="shared" si="2"/>
        <v>264637.17533499451</v>
      </c>
      <c r="Q17" s="297">
        <f t="shared" si="3"/>
        <v>0.22500000000000001</v>
      </c>
      <c r="R17" s="296">
        <f t="shared" si="4"/>
        <v>181951.87577335042</v>
      </c>
      <c r="S17" s="296">
        <f t="shared" si="5"/>
        <v>45487.968943337604</v>
      </c>
      <c r="T17" s="296">
        <f t="shared" si="6"/>
        <v>136463.9068300128</v>
      </c>
      <c r="U17" s="298">
        <f t="shared" si="7"/>
        <v>0.11602443609022554</v>
      </c>
    </row>
    <row r="18" spans="1:21">
      <c r="A18" s="299">
        <v>2027</v>
      </c>
      <c r="B18" s="300" t="s">
        <v>269</v>
      </c>
      <c r="C18" s="301">
        <f t="shared" si="8"/>
        <v>2.613052632846613E-2</v>
      </c>
      <c r="D18" s="302">
        <v>1.1000000000000001</v>
      </c>
      <c r="E18" s="302">
        <f t="shared" si="13"/>
        <v>1783.4084219178133</v>
      </c>
      <c r="F18" s="302">
        <f t="shared" si="14"/>
        <v>16238.509134182596</v>
      </c>
      <c r="G18" s="302">
        <f t="shared" si="10"/>
        <v>356.68168438356264</v>
      </c>
      <c r="H18" s="303">
        <f>G18*Valores!$D$7</f>
        <v>1293781.7460821953</v>
      </c>
      <c r="I18" s="303">
        <f>G18*Valores!$D$9</f>
        <v>802533.78986301599</v>
      </c>
      <c r="J18" s="303">
        <f t="shared" si="1"/>
        <v>491247.95621917932</v>
      </c>
      <c r="K18" s="303">
        <f>H18*'P&amp;L'!$B$22</f>
        <v>64689.087304109766</v>
      </c>
      <c r="L18" s="303">
        <f>H18*'P&amp;L'!$B$29</f>
        <v>25875.634921643908</v>
      </c>
      <c r="M18" s="303">
        <f>H18*'P&amp;L'!$B$35</f>
        <v>32344.543652054883</v>
      </c>
      <c r="N18" s="303">
        <f>H18*'P&amp;L'!$B$41</f>
        <v>103502.53968657563</v>
      </c>
      <c r="O18" s="303">
        <f>H18*'P&amp;L'!$B$46</f>
        <v>64689.087304109766</v>
      </c>
      <c r="P18" s="303">
        <f t="shared" si="2"/>
        <v>291100.89286849397</v>
      </c>
      <c r="Q18" s="304">
        <f t="shared" si="3"/>
        <v>0.22500000000000003</v>
      </c>
      <c r="R18" s="303">
        <f t="shared" si="4"/>
        <v>200147.06335068535</v>
      </c>
      <c r="S18" s="303">
        <f t="shared" si="5"/>
        <v>50036.765837671337</v>
      </c>
      <c r="T18" s="303">
        <f t="shared" si="6"/>
        <v>150110.297513014</v>
      </c>
      <c r="U18" s="305">
        <f t="shared" si="7"/>
        <v>0.11602443609022547</v>
      </c>
    </row>
    <row r="19" spans="1:21" ht="15" thickBot="1">
      <c r="A19" s="306">
        <v>2027</v>
      </c>
      <c r="B19" s="307" t="s">
        <v>270</v>
      </c>
      <c r="C19" s="308">
        <f t="shared" si="8"/>
        <v>2.9004884224597408E-2</v>
      </c>
      <c r="D19" s="309">
        <v>1.1100000000000001</v>
      </c>
      <c r="E19" s="309">
        <f t="shared" si="13"/>
        <v>1979.5833483287729</v>
      </c>
      <c r="F19" s="309">
        <f t="shared" si="14"/>
        <v>18218.092482511369</v>
      </c>
      <c r="G19" s="309">
        <f t="shared" si="10"/>
        <v>395.91666966575457</v>
      </c>
      <c r="H19" s="310">
        <f>G19*Valores!$D$7</f>
        <v>1436097.7381512369</v>
      </c>
      <c r="I19" s="310">
        <f>G19*Valores!$D$9</f>
        <v>890812.50674794777</v>
      </c>
      <c r="J19" s="310">
        <f t="shared" si="1"/>
        <v>545285.23140328913</v>
      </c>
      <c r="K19" s="310">
        <f>H19*'P&amp;L'!$B$22</f>
        <v>71804.886907561842</v>
      </c>
      <c r="L19" s="310">
        <f>H19*'P&amp;L'!$B$29</f>
        <v>28721.95476302474</v>
      </c>
      <c r="M19" s="310">
        <f>H19*'P&amp;L'!$B$35</f>
        <v>35902.443453780921</v>
      </c>
      <c r="N19" s="310">
        <f>H19*'P&amp;L'!$B$41</f>
        <v>114887.81905209896</v>
      </c>
      <c r="O19" s="310">
        <f>H19*'P&amp;L'!$B$46</f>
        <v>71804.886907561842</v>
      </c>
      <c r="P19" s="310">
        <f t="shared" si="2"/>
        <v>323121.99108402833</v>
      </c>
      <c r="Q19" s="311">
        <f t="shared" si="3"/>
        <v>0.22500000000000001</v>
      </c>
      <c r="R19" s="310">
        <f t="shared" si="4"/>
        <v>222163.2403192608</v>
      </c>
      <c r="S19" s="310">
        <f t="shared" si="5"/>
        <v>55540.810079815201</v>
      </c>
      <c r="T19" s="310">
        <f t="shared" si="6"/>
        <v>166622.43023944559</v>
      </c>
      <c r="U19" s="312">
        <f t="shared" si="7"/>
        <v>0.1160244360902255</v>
      </c>
    </row>
    <row r="20" spans="1:21">
      <c r="A20" s="292">
        <v>2028</v>
      </c>
      <c r="B20" s="293" t="s">
        <v>271</v>
      </c>
      <c r="C20" s="294">
        <f t="shared" si="8"/>
        <v>3.0745177278073254E-2</v>
      </c>
      <c r="D20" s="295">
        <v>1.06</v>
      </c>
      <c r="E20" s="295">
        <f t="shared" si="13"/>
        <v>2098.3583492284993</v>
      </c>
      <c r="F20" s="295">
        <f t="shared" si="14"/>
        <v>20316.450831739869</v>
      </c>
      <c r="G20" s="295">
        <f t="shared" si="10"/>
        <v>419.67166984569985</v>
      </c>
      <c r="H20" s="296">
        <f>G20*Valores!$D$7</f>
        <v>1522263.6024403111</v>
      </c>
      <c r="I20" s="296">
        <f>G20*Valores!$D$9</f>
        <v>944261.25715282466</v>
      </c>
      <c r="J20" s="296">
        <f t="shared" si="1"/>
        <v>578002.34528748645</v>
      </c>
      <c r="K20" s="296">
        <f>H20*'P&amp;L'!$B$22</f>
        <v>76113.180122015561</v>
      </c>
      <c r="L20" s="296">
        <f>H20*'P&amp;L'!$B$29</f>
        <v>30445.272048806222</v>
      </c>
      <c r="M20" s="296">
        <f>H20*'P&amp;L'!$B$35</f>
        <v>38056.590061007781</v>
      </c>
      <c r="N20" s="296">
        <f>H20*'P&amp;L'!$B$41</f>
        <v>121781.08819522489</v>
      </c>
      <c r="O20" s="296">
        <f>H20*'P&amp;L'!$B$46</f>
        <v>76113.180122015561</v>
      </c>
      <c r="P20" s="296">
        <f t="shared" si="2"/>
        <v>342509.31054907001</v>
      </c>
      <c r="Q20" s="297">
        <f t="shared" si="3"/>
        <v>0.22500000000000001</v>
      </c>
      <c r="R20" s="296">
        <f t="shared" si="4"/>
        <v>235493.03473841643</v>
      </c>
      <c r="S20" s="296">
        <f t="shared" si="5"/>
        <v>58873.258684604109</v>
      </c>
      <c r="T20" s="296">
        <f t="shared" si="6"/>
        <v>176619.77605381233</v>
      </c>
      <c r="U20" s="298">
        <f t="shared" si="7"/>
        <v>0.1160244360902255</v>
      </c>
    </row>
    <row r="21" spans="1:21">
      <c r="A21" s="299">
        <v>2028</v>
      </c>
      <c r="B21" s="300" t="s">
        <v>272</v>
      </c>
      <c r="C21" s="301">
        <f t="shared" si="8"/>
        <v>3.2897339687538385E-2</v>
      </c>
      <c r="D21" s="302">
        <v>1.07</v>
      </c>
      <c r="E21" s="302">
        <f t="shared" si="13"/>
        <v>2245.2434336744946</v>
      </c>
      <c r="F21" s="302">
        <f t="shared" si="14"/>
        <v>22561.694265414364</v>
      </c>
      <c r="G21" s="302">
        <f t="shared" si="10"/>
        <v>449.04868673489892</v>
      </c>
      <c r="H21" s="303">
        <f>G21*Valores!$D$7</f>
        <v>1628822.0546111332</v>
      </c>
      <c r="I21" s="303">
        <f>G21*Valores!$D$9</f>
        <v>1010359.5451535226</v>
      </c>
      <c r="J21" s="303">
        <f t="shared" si="1"/>
        <v>618462.50945761055</v>
      </c>
      <c r="K21" s="303">
        <f>H21*'P&amp;L'!$B$22</f>
        <v>81441.102730556668</v>
      </c>
      <c r="L21" s="303">
        <f>H21*'P&amp;L'!$B$29</f>
        <v>32576.441092222663</v>
      </c>
      <c r="M21" s="303">
        <f>H21*'P&amp;L'!$B$35</f>
        <v>40720.551365278334</v>
      </c>
      <c r="N21" s="303">
        <f>H21*'P&amp;L'!$B$41</f>
        <v>130305.76436889065</v>
      </c>
      <c r="O21" s="303">
        <f>H21*'P&amp;L'!$B$46</f>
        <v>81441.102730556668</v>
      </c>
      <c r="P21" s="303">
        <f t="shared" si="2"/>
        <v>366484.96228750498</v>
      </c>
      <c r="Q21" s="304">
        <f t="shared" si="3"/>
        <v>0.22500000000000001</v>
      </c>
      <c r="R21" s="303">
        <f t="shared" si="4"/>
        <v>251977.54717010556</v>
      </c>
      <c r="S21" s="303">
        <f t="shared" si="5"/>
        <v>62994.386792526391</v>
      </c>
      <c r="T21" s="303">
        <f t="shared" si="6"/>
        <v>188983.16037757916</v>
      </c>
      <c r="U21" s="305">
        <f t="shared" si="7"/>
        <v>0.11602443609022547</v>
      </c>
    </row>
    <row r="22" spans="1:21" ht="15" thickBot="1">
      <c r="A22" s="306">
        <v>2028</v>
      </c>
      <c r="B22" s="307" t="s">
        <v>273</v>
      </c>
      <c r="C22" s="308">
        <f t="shared" si="8"/>
        <v>3.5529126862541456E-2</v>
      </c>
      <c r="D22" s="309">
        <v>1.08</v>
      </c>
      <c r="E22" s="309">
        <f t="shared" si="13"/>
        <v>2424.8629083684541</v>
      </c>
      <c r="F22" s="309">
        <f t="shared" si="14"/>
        <v>24986.557173782818</v>
      </c>
      <c r="G22" s="309">
        <f t="shared" si="10"/>
        <v>484.9725816736908</v>
      </c>
      <c r="H22" s="310">
        <f>G22*Valores!$D$7</f>
        <v>1759127.8189800237</v>
      </c>
      <c r="I22" s="310">
        <f>G22*Valores!$D$9</f>
        <v>1091188.3087658044</v>
      </c>
      <c r="J22" s="310">
        <f t="shared" si="1"/>
        <v>667939.51021421934</v>
      </c>
      <c r="K22" s="310">
        <f>H22*'P&amp;L'!$B$22</f>
        <v>87956.390949001187</v>
      </c>
      <c r="L22" s="310">
        <f>H22*'P&amp;L'!$B$29</f>
        <v>35182.556379600479</v>
      </c>
      <c r="M22" s="310">
        <f>H22*'P&amp;L'!$B$35</f>
        <v>43978.195474500593</v>
      </c>
      <c r="N22" s="310">
        <f>H22*'P&amp;L'!$B$41</f>
        <v>140730.22551840192</v>
      </c>
      <c r="O22" s="310">
        <f>H22*'P&amp;L'!$B$46</f>
        <v>87956.390949001187</v>
      </c>
      <c r="P22" s="310">
        <f t="shared" si="2"/>
        <v>395803.7592705054</v>
      </c>
      <c r="Q22" s="311">
        <f t="shared" si="3"/>
        <v>0.22500000000000003</v>
      </c>
      <c r="R22" s="310">
        <f t="shared" si="4"/>
        <v>272135.75094371394</v>
      </c>
      <c r="S22" s="310">
        <f t="shared" si="5"/>
        <v>68033.937735928484</v>
      </c>
      <c r="T22" s="310">
        <f t="shared" si="6"/>
        <v>204101.81320778545</v>
      </c>
      <c r="U22" s="312">
        <f t="shared" si="7"/>
        <v>0.11602443609022545</v>
      </c>
    </row>
    <row r="23" spans="1:21">
      <c r="A23" s="292">
        <v>2028</v>
      </c>
      <c r="B23" s="293" t="s">
        <v>274</v>
      </c>
      <c r="C23" s="294">
        <f t="shared" si="8"/>
        <v>3.8371457011544777E-2</v>
      </c>
      <c r="D23" s="295">
        <v>1.08</v>
      </c>
      <c r="E23" s="295">
        <f t="shared" si="13"/>
        <v>2618.8519410379304</v>
      </c>
      <c r="F23" s="295">
        <f t="shared" si="14"/>
        <v>27605.409114820748</v>
      </c>
      <c r="G23" s="295">
        <f t="shared" si="10"/>
        <v>523.77038820758605</v>
      </c>
      <c r="H23" s="296">
        <f>G23*Valores!$D$7</f>
        <v>1899858.0444984257</v>
      </c>
      <c r="I23" s="296">
        <f>G23*Valores!$D$9</f>
        <v>1178483.3734670687</v>
      </c>
      <c r="J23" s="296">
        <f t="shared" si="1"/>
        <v>721374.67103135702</v>
      </c>
      <c r="K23" s="296">
        <f>H23*'P&amp;L'!$B$22</f>
        <v>94992.902224921287</v>
      </c>
      <c r="L23" s="296">
        <f>H23*'P&amp;L'!$B$29</f>
        <v>37997.160889968516</v>
      </c>
      <c r="M23" s="296">
        <f>H23*'P&amp;L'!$B$35</f>
        <v>47496.451112460643</v>
      </c>
      <c r="N23" s="296">
        <f>H23*'P&amp;L'!$B$41</f>
        <v>151988.64355987406</v>
      </c>
      <c r="O23" s="296">
        <f>H23*'P&amp;L'!$B$46</f>
        <v>94992.902224921287</v>
      </c>
      <c r="P23" s="296">
        <f t="shared" si="2"/>
        <v>427468.06001214578</v>
      </c>
      <c r="Q23" s="297">
        <f t="shared" si="3"/>
        <v>0.22500000000000001</v>
      </c>
      <c r="R23" s="296">
        <f t="shared" si="4"/>
        <v>293906.61101921124</v>
      </c>
      <c r="S23" s="296">
        <f t="shared" si="5"/>
        <v>73476.65275480281</v>
      </c>
      <c r="T23" s="296">
        <f t="shared" si="6"/>
        <v>220429.95826440843</v>
      </c>
      <c r="U23" s="298">
        <f t="shared" si="7"/>
        <v>0.11602443609022553</v>
      </c>
    </row>
    <row r="24" spans="1:21">
      <c r="A24" s="299">
        <v>2028</v>
      </c>
      <c r="B24" s="300" t="s">
        <v>275</v>
      </c>
      <c r="C24" s="301">
        <f t="shared" si="8"/>
        <v>4.1441173572468362E-2</v>
      </c>
      <c r="D24" s="302">
        <v>1.08</v>
      </c>
      <c r="E24" s="302">
        <f t="shared" si="13"/>
        <v>2828.3600963209651</v>
      </c>
      <c r="F24" s="302">
        <f t="shared" si="14"/>
        <v>30433.769211141713</v>
      </c>
      <c r="G24" s="302">
        <f t="shared" si="10"/>
        <v>565.67201926419307</v>
      </c>
      <c r="H24" s="303">
        <f>G24*Valores!$D$7</f>
        <v>2051846.6880583002</v>
      </c>
      <c r="I24" s="303">
        <f>G24*Valores!$D$9</f>
        <v>1272762.0433444344</v>
      </c>
      <c r="J24" s="303">
        <f t="shared" si="1"/>
        <v>779084.64471386583</v>
      </c>
      <c r="K24" s="303">
        <f>H24*'P&amp;L'!$B$22</f>
        <v>102592.33440291502</v>
      </c>
      <c r="L24" s="303">
        <f>H24*'P&amp;L'!$B$29</f>
        <v>41036.933761166001</v>
      </c>
      <c r="M24" s="303">
        <f>H24*'P&amp;L'!$B$35</f>
        <v>51296.167201457509</v>
      </c>
      <c r="N24" s="303">
        <f>H24*'P&amp;L'!$B$41</f>
        <v>164147.735044664</v>
      </c>
      <c r="O24" s="303">
        <f>H24*'P&amp;L'!$B$46</f>
        <v>102592.33440291502</v>
      </c>
      <c r="P24" s="303">
        <f t="shared" si="2"/>
        <v>461665.50481311762</v>
      </c>
      <c r="Q24" s="304">
        <f t="shared" si="3"/>
        <v>0.22500000000000003</v>
      </c>
      <c r="R24" s="303">
        <f t="shared" si="4"/>
        <v>317419.13990074821</v>
      </c>
      <c r="S24" s="303">
        <f t="shared" si="5"/>
        <v>79354.784975187053</v>
      </c>
      <c r="T24" s="303">
        <f t="shared" si="6"/>
        <v>238064.35492556117</v>
      </c>
      <c r="U24" s="305">
        <f t="shared" si="7"/>
        <v>0.11602443609022553</v>
      </c>
    </row>
    <row r="25" spans="1:21" ht="15" thickBot="1">
      <c r="A25" s="306">
        <v>2028</v>
      </c>
      <c r="B25" s="307" t="s">
        <v>264</v>
      </c>
      <c r="C25" s="308">
        <f t="shared" si="8"/>
        <v>4.5585290929715201E-2</v>
      </c>
      <c r="D25" s="309">
        <v>1.1000000000000001</v>
      </c>
      <c r="E25" s="309">
        <f t="shared" si="13"/>
        <v>3111.1961059530618</v>
      </c>
      <c r="F25" s="309">
        <f t="shared" si="14"/>
        <v>33544.965317094771</v>
      </c>
      <c r="G25" s="309">
        <f t="shared" si="10"/>
        <v>622.2392211906124</v>
      </c>
      <c r="H25" s="310">
        <f>G25*Valores!$D$7</f>
        <v>2257031.3568641301</v>
      </c>
      <c r="I25" s="310">
        <f>G25*Valores!$D$9</f>
        <v>1400038.2476788778</v>
      </c>
      <c r="J25" s="310">
        <f t="shared" si="1"/>
        <v>856993.10918525234</v>
      </c>
      <c r="K25" s="310">
        <f>H25*'P&amp;L'!$B$22</f>
        <v>112851.56784320652</v>
      </c>
      <c r="L25" s="310">
        <f>H25*'P&amp;L'!$B$29</f>
        <v>45140.627137282601</v>
      </c>
      <c r="M25" s="310">
        <f>H25*'P&amp;L'!$B$35</f>
        <v>56425.783921603259</v>
      </c>
      <c r="N25" s="310">
        <f>H25*'P&amp;L'!$B$41</f>
        <v>180562.50854913041</v>
      </c>
      <c r="O25" s="310">
        <f>H25*'P&amp;L'!$B$46</f>
        <v>112851.56784320652</v>
      </c>
      <c r="P25" s="310">
        <f t="shared" si="2"/>
        <v>507832.0552944293</v>
      </c>
      <c r="Q25" s="311">
        <f t="shared" si="3"/>
        <v>0.22500000000000001</v>
      </c>
      <c r="R25" s="310">
        <f t="shared" si="4"/>
        <v>349161.05389082304</v>
      </c>
      <c r="S25" s="310">
        <f t="shared" si="5"/>
        <v>87290.263472705759</v>
      </c>
      <c r="T25" s="310">
        <f t="shared" si="6"/>
        <v>261870.79041811728</v>
      </c>
      <c r="U25" s="312">
        <f t="shared" si="7"/>
        <v>0.11602443609022553</v>
      </c>
    </row>
    <row r="26" spans="1:21">
      <c r="A26" s="313">
        <v>2028</v>
      </c>
      <c r="B26" s="314" t="s">
        <v>265</v>
      </c>
      <c r="C26" s="315">
        <f t="shared" si="8"/>
        <v>5.0143820022686726E-2</v>
      </c>
      <c r="D26" s="316">
        <v>1.1000000000000001</v>
      </c>
      <c r="E26" s="316">
        <f t="shared" si="13"/>
        <v>3422.3157165483681</v>
      </c>
      <c r="F26" s="316">
        <f t="shared" si="14"/>
        <v>36967.281033643143</v>
      </c>
      <c r="G26" s="316">
        <f t="shared" si="10"/>
        <v>684.46314330967357</v>
      </c>
      <c r="H26" s="317">
        <f>G26*Valores!$D$7</f>
        <v>2482734.492550543</v>
      </c>
      <c r="I26" s="317">
        <f>G26*Valores!$D$9</f>
        <v>1540042.0724467656</v>
      </c>
      <c r="J26" s="317">
        <f t="shared" si="1"/>
        <v>942692.42010377743</v>
      </c>
      <c r="K26" s="317">
        <f>H26*'P&amp;L'!$B$22</f>
        <v>124136.72462752716</v>
      </c>
      <c r="L26" s="317">
        <f>H26*'P&amp;L'!$B$29</f>
        <v>49654.689851010859</v>
      </c>
      <c r="M26" s="317">
        <f>H26*'P&amp;L'!$B$35</f>
        <v>62068.36231376358</v>
      </c>
      <c r="N26" s="317">
        <f>H26*'P&amp;L'!$B$41</f>
        <v>198618.75940404343</v>
      </c>
      <c r="O26" s="317">
        <f>H26*'P&amp;L'!$B$46</f>
        <v>124136.72462752716</v>
      </c>
      <c r="P26" s="317">
        <f t="shared" si="2"/>
        <v>558615.26082387217</v>
      </c>
      <c r="Q26" s="318">
        <f t="shared" si="3"/>
        <v>0.22500000000000001</v>
      </c>
      <c r="R26" s="317">
        <f t="shared" si="4"/>
        <v>384077.15927990526</v>
      </c>
      <c r="S26" s="317">
        <f t="shared" si="5"/>
        <v>96019.289819976315</v>
      </c>
      <c r="T26" s="317">
        <f t="shared" si="6"/>
        <v>288057.86945992894</v>
      </c>
      <c r="U26" s="319">
        <f t="shared" si="7"/>
        <v>0.11602443609022552</v>
      </c>
    </row>
    <row r="27" spans="1:21">
      <c r="A27" s="299">
        <v>2028</v>
      </c>
      <c r="B27" s="300" t="s">
        <v>266</v>
      </c>
      <c r="C27" s="301">
        <f t="shared" si="8"/>
        <v>5.2651011023821068E-2</v>
      </c>
      <c r="D27" s="302">
        <v>1.05</v>
      </c>
      <c r="E27" s="302">
        <f t="shared" si="13"/>
        <v>3593.4315023757867</v>
      </c>
      <c r="F27" s="302">
        <f t="shared" si="14"/>
        <v>40560.712536018931</v>
      </c>
      <c r="G27" s="302">
        <f t="shared" si="10"/>
        <v>718.6863004751574</v>
      </c>
      <c r="H27" s="303">
        <f>G27*Valores!$D$7</f>
        <v>2606871.2171780709</v>
      </c>
      <c r="I27" s="303">
        <f>G27*Valores!$D$9</f>
        <v>1617044.1760691041</v>
      </c>
      <c r="J27" s="303">
        <f t="shared" si="1"/>
        <v>989827.04110896681</v>
      </c>
      <c r="K27" s="303">
        <f>H27*'P&amp;L'!$B$22</f>
        <v>130343.56085890355</v>
      </c>
      <c r="L27" s="303">
        <f>H27*'P&amp;L'!$B$29</f>
        <v>52137.424343561419</v>
      </c>
      <c r="M27" s="303">
        <f>H27*'P&amp;L'!$B$35</f>
        <v>65171.780429451777</v>
      </c>
      <c r="N27" s="303">
        <f>H27*'P&amp;L'!$B$41</f>
        <v>208549.69737424568</v>
      </c>
      <c r="O27" s="303">
        <f>H27*'P&amp;L'!$B$46</f>
        <v>130343.56085890355</v>
      </c>
      <c r="P27" s="303">
        <f t="shared" si="2"/>
        <v>586546.023865066</v>
      </c>
      <c r="Q27" s="304">
        <f t="shared" si="3"/>
        <v>0.22500000000000001</v>
      </c>
      <c r="R27" s="303">
        <f t="shared" si="4"/>
        <v>403281.0172439008</v>
      </c>
      <c r="S27" s="303">
        <f t="shared" si="5"/>
        <v>100820.2543109752</v>
      </c>
      <c r="T27" s="303">
        <f t="shared" si="6"/>
        <v>302460.7629329256</v>
      </c>
      <c r="U27" s="305">
        <f t="shared" si="7"/>
        <v>0.11602443609022556</v>
      </c>
    </row>
    <row r="28" spans="1:21" ht="15" thickBot="1">
      <c r="A28" s="306">
        <v>2028</v>
      </c>
      <c r="B28" s="307" t="s">
        <v>267</v>
      </c>
      <c r="C28" s="308">
        <f t="shared" si="8"/>
        <v>5.5283561575012123E-2</v>
      </c>
      <c r="D28" s="309">
        <v>1.05</v>
      </c>
      <c r="E28" s="309">
        <f t="shared" si="13"/>
        <v>3773.1030774945762</v>
      </c>
      <c r="F28" s="309">
        <f t="shared" si="14"/>
        <v>44333.815613513507</v>
      </c>
      <c r="G28" s="309">
        <f t="shared" si="10"/>
        <v>754.62061549891519</v>
      </c>
      <c r="H28" s="310">
        <f>G28*Valores!$D$7</f>
        <v>2737214.7780369739</v>
      </c>
      <c r="I28" s="310">
        <f>G28*Valores!$D$9</f>
        <v>1697896.3848725592</v>
      </c>
      <c r="J28" s="310">
        <f t="shared" si="1"/>
        <v>1039318.3931644147</v>
      </c>
      <c r="K28" s="310">
        <f>H28*'P&amp;L'!$B$22</f>
        <v>136860.7389018487</v>
      </c>
      <c r="L28" s="310">
        <f>H28*'P&amp;L'!$B$29</f>
        <v>54744.295560739476</v>
      </c>
      <c r="M28" s="310">
        <f>H28*'P&amp;L'!$B$35</f>
        <v>68430.369450924351</v>
      </c>
      <c r="N28" s="310">
        <f>H28*'P&amp;L'!$B$41</f>
        <v>218977.1822429579</v>
      </c>
      <c r="O28" s="310">
        <f>H28*'P&amp;L'!$B$46</f>
        <v>136860.7389018487</v>
      </c>
      <c r="P28" s="310">
        <f t="shared" si="2"/>
        <v>615873.32505831914</v>
      </c>
      <c r="Q28" s="311">
        <f t="shared" si="3"/>
        <v>0.22500000000000001</v>
      </c>
      <c r="R28" s="310">
        <f t="shared" si="4"/>
        <v>423445.06810609554</v>
      </c>
      <c r="S28" s="310">
        <f t="shared" si="5"/>
        <v>105861.26702652388</v>
      </c>
      <c r="T28" s="310">
        <f t="shared" si="6"/>
        <v>317583.80107957165</v>
      </c>
      <c r="U28" s="312">
        <f t="shared" si="7"/>
        <v>0.1160244360902255</v>
      </c>
    </row>
    <row r="29" spans="1:21">
      <c r="A29" s="292">
        <v>2028</v>
      </c>
      <c r="B29" s="293" t="s">
        <v>268</v>
      </c>
      <c r="C29" s="294">
        <f t="shared" si="8"/>
        <v>5.8047739653762732E-2</v>
      </c>
      <c r="D29" s="295">
        <v>1.05</v>
      </c>
      <c r="E29" s="295">
        <f t="shared" si="13"/>
        <v>3961.7582313693051</v>
      </c>
      <c r="F29" s="295">
        <f t="shared" si="14"/>
        <v>48295.573844882812</v>
      </c>
      <c r="G29" s="295">
        <f t="shared" si="10"/>
        <v>792.35164627386098</v>
      </c>
      <c r="H29" s="296">
        <f>G29*Valores!$D$7</f>
        <v>2874075.5169388228</v>
      </c>
      <c r="I29" s="296">
        <f>G29*Valores!$D$9</f>
        <v>1782791.2041161873</v>
      </c>
      <c r="J29" s="296">
        <f t="shared" si="1"/>
        <v>1091284.3128226355</v>
      </c>
      <c r="K29" s="296">
        <f>H29*'P&amp;L'!$B$22</f>
        <v>143703.77584694113</v>
      </c>
      <c r="L29" s="296">
        <f>H29*'P&amp;L'!$B$29</f>
        <v>57481.510338776454</v>
      </c>
      <c r="M29" s="296">
        <f>H29*'P&amp;L'!$B$35</f>
        <v>71851.887923470567</v>
      </c>
      <c r="N29" s="296">
        <f>H29*'P&amp;L'!$B$41</f>
        <v>229926.04135510582</v>
      </c>
      <c r="O29" s="296">
        <f>H29*'P&amp;L'!$B$46</f>
        <v>143703.77584694113</v>
      </c>
      <c r="P29" s="296">
        <f t="shared" si="2"/>
        <v>646666.99131123512</v>
      </c>
      <c r="Q29" s="297">
        <f t="shared" si="3"/>
        <v>0.22500000000000001</v>
      </c>
      <c r="R29" s="296">
        <f t="shared" si="4"/>
        <v>444617.3215114004</v>
      </c>
      <c r="S29" s="296">
        <f t="shared" si="5"/>
        <v>111154.3303778501</v>
      </c>
      <c r="T29" s="296">
        <f t="shared" si="6"/>
        <v>333462.9911335503</v>
      </c>
      <c r="U29" s="298">
        <f t="shared" si="7"/>
        <v>0.11602443609022552</v>
      </c>
    </row>
    <row r="30" spans="1:21">
      <c r="A30" s="299">
        <v>2028</v>
      </c>
      <c r="B30" s="300" t="s">
        <v>269</v>
      </c>
      <c r="C30" s="301">
        <f t="shared" si="8"/>
        <v>6.2691558826063754E-2</v>
      </c>
      <c r="D30" s="302">
        <v>1.08</v>
      </c>
      <c r="E30" s="302">
        <f t="shared" si="13"/>
        <v>4278.6988898788495</v>
      </c>
      <c r="F30" s="302">
        <f t="shared" si="14"/>
        <v>52574.27273476166</v>
      </c>
      <c r="G30" s="302">
        <f t="shared" si="10"/>
        <v>855.73977797576993</v>
      </c>
      <c r="H30" s="303">
        <f>G30*Valores!$D$7</f>
        <v>3104001.5582939289</v>
      </c>
      <c r="I30" s="303">
        <f>G30*Valores!$D$9</f>
        <v>1925414.5004454823</v>
      </c>
      <c r="J30" s="303">
        <f t="shared" si="1"/>
        <v>1178587.0578484465</v>
      </c>
      <c r="K30" s="303">
        <f>H30*'P&amp;L'!$B$22</f>
        <v>155200.07791469645</v>
      </c>
      <c r="L30" s="303">
        <f>H30*'P&amp;L'!$B$29</f>
        <v>62080.031165878579</v>
      </c>
      <c r="M30" s="303">
        <f>H30*'P&amp;L'!$B$35</f>
        <v>77600.038957348224</v>
      </c>
      <c r="N30" s="303">
        <f>H30*'P&amp;L'!$B$41</f>
        <v>248320.12466351432</v>
      </c>
      <c r="O30" s="303">
        <f>H30*'P&amp;L'!$B$46</f>
        <v>155200.07791469645</v>
      </c>
      <c r="P30" s="303">
        <f t="shared" si="2"/>
        <v>698400.350616134</v>
      </c>
      <c r="Q30" s="304">
        <f t="shared" si="3"/>
        <v>0.22500000000000001</v>
      </c>
      <c r="R30" s="303">
        <f t="shared" si="4"/>
        <v>480186.70723231253</v>
      </c>
      <c r="S30" s="303">
        <f t="shared" si="5"/>
        <v>120046.67680807813</v>
      </c>
      <c r="T30" s="303">
        <f t="shared" si="6"/>
        <v>360140.0304242344</v>
      </c>
      <c r="U30" s="305">
        <f t="shared" si="7"/>
        <v>0.11602443609022553</v>
      </c>
    </row>
    <row r="31" spans="1:21" ht="15" thickBot="1">
      <c r="A31" s="306">
        <v>2028</v>
      </c>
      <c r="B31" s="307" t="s">
        <v>270</v>
      </c>
      <c r="C31" s="308">
        <f t="shared" si="8"/>
        <v>6.8960714708670129E-2</v>
      </c>
      <c r="D31" s="309">
        <v>1.1000000000000001</v>
      </c>
      <c r="E31" s="309">
        <f t="shared" si="13"/>
        <v>4706.5687788667346</v>
      </c>
      <c r="F31" s="309">
        <f t="shared" si="14"/>
        <v>57280.841513628395</v>
      </c>
      <c r="G31" s="309">
        <f t="shared" si="10"/>
        <v>941.31375577334688</v>
      </c>
      <c r="H31" s="310">
        <f>G31*Valores!$D$7</f>
        <v>3414401.7141233217</v>
      </c>
      <c r="I31" s="310">
        <f>G31*Valores!$D$9</f>
        <v>2117955.9504900305</v>
      </c>
      <c r="J31" s="310">
        <f t="shared" si="1"/>
        <v>1296445.7636332912</v>
      </c>
      <c r="K31" s="310">
        <f>H31*'P&amp;L'!$B$22</f>
        <v>170720.08570616611</v>
      </c>
      <c r="L31" s="310">
        <f>H31*'P&amp;L'!$B$29</f>
        <v>68288.03428246644</v>
      </c>
      <c r="M31" s="310">
        <f>H31*'P&amp;L'!$B$35</f>
        <v>85360.042853083054</v>
      </c>
      <c r="N31" s="310">
        <f>H31*'P&amp;L'!$B$41</f>
        <v>273152.13712986576</v>
      </c>
      <c r="O31" s="310">
        <f>H31*'P&amp;L'!$B$46</f>
        <v>170720.08570616611</v>
      </c>
      <c r="P31" s="310">
        <f t="shared" si="2"/>
        <v>768240.38567774754</v>
      </c>
      <c r="Q31" s="311">
        <f t="shared" si="3"/>
        <v>0.22500000000000006</v>
      </c>
      <c r="R31" s="310">
        <f t="shared" si="4"/>
        <v>528205.37795554369</v>
      </c>
      <c r="S31" s="310">
        <f t="shared" si="5"/>
        <v>132051.34448888592</v>
      </c>
      <c r="T31" s="310">
        <f t="shared" si="6"/>
        <v>396154.03346665774</v>
      </c>
      <c r="U31" s="312">
        <f t="shared" si="7"/>
        <v>0.1160244360902255</v>
      </c>
    </row>
    <row r="32" spans="1:21">
      <c r="A32" s="292">
        <v>2029</v>
      </c>
      <c r="B32" s="293" t="s">
        <v>271</v>
      </c>
      <c r="C32" s="294">
        <f>C30*D32</f>
        <v>6.5199221179106301E-2</v>
      </c>
      <c r="D32" s="295">
        <v>1.04</v>
      </c>
      <c r="E32" s="295">
        <f t="shared" ref="E32:E38" si="15">E31*D32</f>
        <v>4894.8315300214044</v>
      </c>
      <c r="F32" s="295">
        <f t="shared" ref="F32:F38" si="16">F31+E32</f>
        <v>62175.673043649796</v>
      </c>
      <c r="G32" s="295">
        <f t="shared" si="10"/>
        <v>978.96630600428091</v>
      </c>
      <c r="H32" s="296">
        <f>G32*Valores!$D$7</f>
        <v>3550977.782688255</v>
      </c>
      <c r="I32" s="296">
        <f>G32*Valores!$D$9</f>
        <v>2202674.1885096319</v>
      </c>
      <c r="J32" s="296">
        <f t="shared" si="1"/>
        <v>1348303.5941786231</v>
      </c>
      <c r="K32" s="296">
        <f>H32*'P&amp;L'!$B$22</f>
        <v>177548.88913441275</v>
      </c>
      <c r="L32" s="296">
        <f>H32*'P&amp;L'!$B$29</f>
        <v>71019.555653765099</v>
      </c>
      <c r="M32" s="296">
        <f>H32*'P&amp;L'!$B$35</f>
        <v>88774.444567206374</v>
      </c>
      <c r="N32" s="296">
        <f>H32*'P&amp;L'!$B$41</f>
        <v>284078.2226150604</v>
      </c>
      <c r="O32" s="296">
        <f>H32*'P&amp;L'!$B$46</f>
        <v>177548.88913441275</v>
      </c>
      <c r="P32" s="296">
        <f t="shared" si="2"/>
        <v>798970.00110485742</v>
      </c>
      <c r="Q32" s="297">
        <f t="shared" si="3"/>
        <v>0.22500000000000001</v>
      </c>
      <c r="R32" s="296">
        <f t="shared" si="4"/>
        <v>549333.59307376563</v>
      </c>
      <c r="S32" s="296">
        <f t="shared" si="5"/>
        <v>137333.39826844141</v>
      </c>
      <c r="T32" s="296">
        <f t="shared" si="6"/>
        <v>412000.19480532419</v>
      </c>
      <c r="U32" s="298">
        <f t="shared" si="7"/>
        <v>0.11602443609022553</v>
      </c>
    </row>
    <row r="33" spans="1:21">
      <c r="A33" s="299">
        <v>2029</v>
      </c>
      <c r="B33" s="300" t="s">
        <v>272</v>
      </c>
      <c r="C33" s="301">
        <f>C31*D33</f>
        <v>7.1719143297016938E-2</v>
      </c>
      <c r="D33" s="302">
        <v>1.04</v>
      </c>
      <c r="E33" s="302">
        <f t="shared" si="15"/>
        <v>5090.6247912222607</v>
      </c>
      <c r="F33" s="302">
        <f t="shared" si="16"/>
        <v>67266.297834872064</v>
      </c>
      <c r="G33" s="302">
        <f t="shared" si="10"/>
        <v>1018.1249582444522</v>
      </c>
      <c r="H33" s="303">
        <f>G33*Valores!$D$7</f>
        <v>3693016.8939957852</v>
      </c>
      <c r="I33" s="303">
        <f>G33*Valores!$D$9</f>
        <v>2290781.1560500176</v>
      </c>
      <c r="J33" s="303">
        <f t="shared" si="1"/>
        <v>1402235.7379457676</v>
      </c>
      <c r="K33" s="303">
        <f>H33*'P&amp;L'!$B$22</f>
        <v>184650.84469978928</v>
      </c>
      <c r="L33" s="303">
        <f>H33*'P&amp;L'!$B$29</f>
        <v>73860.337879915707</v>
      </c>
      <c r="M33" s="303">
        <f>H33*'P&amp;L'!$B$35</f>
        <v>92325.422349894638</v>
      </c>
      <c r="N33" s="303">
        <f>H33*'P&amp;L'!$B$41</f>
        <v>295441.35151966283</v>
      </c>
      <c r="O33" s="303">
        <f>H33*'P&amp;L'!$B$46</f>
        <v>184650.84469978928</v>
      </c>
      <c r="P33" s="303">
        <f t="shared" si="2"/>
        <v>830928.80114905175</v>
      </c>
      <c r="Q33" s="304">
        <f t="shared" si="3"/>
        <v>0.22500000000000003</v>
      </c>
      <c r="R33" s="303">
        <f t="shared" si="4"/>
        <v>571306.93679671583</v>
      </c>
      <c r="S33" s="303">
        <f t="shared" si="5"/>
        <v>142826.73419917896</v>
      </c>
      <c r="T33" s="303">
        <f t="shared" si="6"/>
        <v>428480.20259753685</v>
      </c>
      <c r="U33" s="305">
        <f t="shared" si="7"/>
        <v>0.11602443609022545</v>
      </c>
    </row>
    <row r="34" spans="1:21" ht="15" thickBot="1">
      <c r="A34" s="306">
        <v>2029</v>
      </c>
      <c r="B34" s="307" t="s">
        <v>273</v>
      </c>
      <c r="C34" s="308">
        <f t="shared" si="8"/>
        <v>7.4587909028897614E-2</v>
      </c>
      <c r="D34" s="309">
        <v>1.04</v>
      </c>
      <c r="E34" s="309">
        <f t="shared" si="15"/>
        <v>5294.2497828711512</v>
      </c>
      <c r="F34" s="309">
        <f t="shared" si="16"/>
        <v>72560.547617743214</v>
      </c>
      <c r="G34" s="309">
        <f t="shared" si="10"/>
        <v>1058.8499565742302</v>
      </c>
      <c r="H34" s="310">
        <f>G34*Valores!$D$7</f>
        <v>3840737.5697556166</v>
      </c>
      <c r="I34" s="310">
        <f>G34*Valores!$D$9</f>
        <v>2382412.4022920178</v>
      </c>
      <c r="J34" s="310">
        <f t="shared" si="1"/>
        <v>1458325.1674635988</v>
      </c>
      <c r="K34" s="310">
        <f>H34*'P&amp;L'!$B$22</f>
        <v>192036.87848778084</v>
      </c>
      <c r="L34" s="310">
        <f>H34*'P&amp;L'!$B$29</f>
        <v>76814.75139511234</v>
      </c>
      <c r="M34" s="310">
        <f>H34*'P&amp;L'!$B$35</f>
        <v>96018.439243890418</v>
      </c>
      <c r="N34" s="310">
        <f>H34*'P&amp;L'!$B$41</f>
        <v>307259.00558044936</v>
      </c>
      <c r="O34" s="310">
        <f>H34*'P&amp;L'!$B$46</f>
        <v>192036.87848778084</v>
      </c>
      <c r="P34" s="310">
        <f t="shared" si="2"/>
        <v>864165.95319501369</v>
      </c>
      <c r="Q34" s="311">
        <f t="shared" si="3"/>
        <v>0.22499999999999998</v>
      </c>
      <c r="R34" s="310">
        <f t="shared" si="4"/>
        <v>594159.21426858508</v>
      </c>
      <c r="S34" s="310">
        <f t="shared" si="5"/>
        <v>148539.80356714627</v>
      </c>
      <c r="T34" s="310">
        <f t="shared" si="6"/>
        <v>445619.41070143878</v>
      </c>
      <c r="U34" s="312">
        <f t="shared" si="7"/>
        <v>0.11602443609022556</v>
      </c>
    </row>
    <row r="35" spans="1:21">
      <c r="A35" s="292">
        <v>2029</v>
      </c>
      <c r="B35" s="293" t="s">
        <v>274</v>
      </c>
      <c r="C35" s="294">
        <f t="shared" si="8"/>
        <v>7.8317304480342492E-2</v>
      </c>
      <c r="D35" s="295">
        <v>1.05</v>
      </c>
      <c r="E35" s="295">
        <f t="shared" si="15"/>
        <v>5558.962272014709</v>
      </c>
      <c r="F35" s="295">
        <f t="shared" si="16"/>
        <v>78119.50988975793</v>
      </c>
      <c r="G35" s="295">
        <f t="shared" si="10"/>
        <v>1111.7924544029418</v>
      </c>
      <c r="H35" s="296">
        <f>G35*Valores!$D$7</f>
        <v>4032774.4482433978</v>
      </c>
      <c r="I35" s="296">
        <f>G35*Valores!$D$9</f>
        <v>2501533.022406619</v>
      </c>
      <c r="J35" s="296">
        <f t="shared" si="1"/>
        <v>1531241.4258367787</v>
      </c>
      <c r="K35" s="296">
        <f>H35*'P&amp;L'!$B$22</f>
        <v>201638.72241216991</v>
      </c>
      <c r="L35" s="296">
        <f>H35*'P&amp;L'!$B$29</f>
        <v>80655.488964867953</v>
      </c>
      <c r="M35" s="296">
        <f>H35*'P&amp;L'!$B$35</f>
        <v>100819.36120608496</v>
      </c>
      <c r="N35" s="296">
        <f>H35*'P&amp;L'!$B$41</f>
        <v>322621.95585947181</v>
      </c>
      <c r="O35" s="296">
        <f>H35*'P&amp;L'!$B$46</f>
        <v>201638.72241216991</v>
      </c>
      <c r="P35" s="296">
        <f t="shared" si="2"/>
        <v>907374.2508547646</v>
      </c>
      <c r="Q35" s="297">
        <f t="shared" si="3"/>
        <v>0.22500000000000003</v>
      </c>
      <c r="R35" s="296">
        <f t="shared" si="4"/>
        <v>623867.17498201411</v>
      </c>
      <c r="S35" s="296">
        <f t="shared" si="5"/>
        <v>155966.79374550353</v>
      </c>
      <c r="T35" s="296">
        <f t="shared" si="6"/>
        <v>467900.38123651058</v>
      </c>
      <c r="U35" s="298">
        <f t="shared" si="7"/>
        <v>0.11602443609022552</v>
      </c>
    </row>
    <row r="36" spans="1:21">
      <c r="A36" s="299">
        <v>2029</v>
      </c>
      <c r="B36" s="300" t="s">
        <v>275</v>
      </c>
      <c r="C36" s="301">
        <f t="shared" si="8"/>
        <v>8.4191102316368172E-2</v>
      </c>
      <c r="D36" s="302">
        <v>1.075</v>
      </c>
      <c r="E36" s="302">
        <f t="shared" si="15"/>
        <v>5975.8844424158124</v>
      </c>
      <c r="F36" s="302">
        <f t="shared" si="16"/>
        <v>84095.394332173746</v>
      </c>
      <c r="G36" s="302">
        <f t="shared" si="10"/>
        <v>1195.1768884831624</v>
      </c>
      <c r="H36" s="303">
        <f>G36*Valores!$D$7</f>
        <v>4335232.5318616526</v>
      </c>
      <c r="I36" s="303">
        <f>G36*Valores!$D$9</f>
        <v>2689147.9990871153</v>
      </c>
      <c r="J36" s="303">
        <f t="shared" si="1"/>
        <v>1646084.5327745373</v>
      </c>
      <c r="K36" s="303">
        <f>H36*'P&amp;L'!$B$22</f>
        <v>216761.62659308265</v>
      </c>
      <c r="L36" s="303">
        <f>H36*'P&amp;L'!$B$29</f>
        <v>86704.650637233048</v>
      </c>
      <c r="M36" s="303">
        <f>H36*'P&amp;L'!$B$35</f>
        <v>108380.81329654132</v>
      </c>
      <c r="N36" s="303">
        <f>H36*'P&amp;L'!$B$41</f>
        <v>346818.60254893219</v>
      </c>
      <c r="O36" s="303">
        <f>H36*'P&amp;L'!$B$46</f>
        <v>216761.62659308265</v>
      </c>
      <c r="P36" s="303">
        <f t="shared" si="2"/>
        <v>975427.31966887193</v>
      </c>
      <c r="Q36" s="304">
        <f t="shared" si="3"/>
        <v>0.22500000000000003</v>
      </c>
      <c r="R36" s="303">
        <f t="shared" si="4"/>
        <v>670657.2131056654</v>
      </c>
      <c r="S36" s="303">
        <f t="shared" si="5"/>
        <v>167664.30327641635</v>
      </c>
      <c r="T36" s="303">
        <f t="shared" si="6"/>
        <v>502992.90982924902</v>
      </c>
      <c r="U36" s="305">
        <f t="shared" si="7"/>
        <v>0.11602443609022556</v>
      </c>
    </row>
    <row r="37" spans="1:21" ht="15" thickBot="1">
      <c r="A37" s="306">
        <v>2029</v>
      </c>
      <c r="B37" s="307" t="s">
        <v>264</v>
      </c>
      <c r="C37" s="308">
        <f t="shared" si="8"/>
        <v>9.176830152484132E-2</v>
      </c>
      <c r="D37" s="309">
        <v>1.0900000000000001</v>
      </c>
      <c r="E37" s="309">
        <f t="shared" si="15"/>
        <v>6513.7140422332359</v>
      </c>
      <c r="F37" s="309">
        <f t="shared" si="16"/>
        <v>90609.108374406977</v>
      </c>
      <c r="G37" s="309">
        <f t="shared" si="10"/>
        <v>1302.7428084466471</v>
      </c>
      <c r="H37" s="310">
        <f>G37*Valores!$D$7</f>
        <v>4725403.4597292012</v>
      </c>
      <c r="I37" s="310">
        <f>G37*Valores!$D$9</f>
        <v>2931171.3190049562</v>
      </c>
      <c r="J37" s="310">
        <f t="shared" si="1"/>
        <v>1794232.140724245</v>
      </c>
      <c r="K37" s="310">
        <f>H37*'P&amp;L'!$B$22</f>
        <v>236270.17298646006</v>
      </c>
      <c r="L37" s="310">
        <f>H37*'P&amp;L'!$B$29</f>
        <v>94508.069194584023</v>
      </c>
      <c r="M37" s="310">
        <f>H37*'P&amp;L'!$B$35</f>
        <v>118135.08649323003</v>
      </c>
      <c r="N37" s="310">
        <f>H37*'P&amp;L'!$B$41</f>
        <v>378032.27677833609</v>
      </c>
      <c r="O37" s="310">
        <f>H37*'P&amp;L'!$B$46</f>
        <v>236270.17298646006</v>
      </c>
      <c r="P37" s="310">
        <f t="shared" si="2"/>
        <v>1063215.7784390703</v>
      </c>
      <c r="Q37" s="311">
        <f t="shared" si="3"/>
        <v>0.22500000000000001</v>
      </c>
      <c r="R37" s="310">
        <f t="shared" si="4"/>
        <v>731016.36228517466</v>
      </c>
      <c r="S37" s="310">
        <f t="shared" si="5"/>
        <v>182754.09057129367</v>
      </c>
      <c r="T37" s="310">
        <f t="shared" si="6"/>
        <v>548262.27171388105</v>
      </c>
      <c r="U37" s="312">
        <f t="shared" si="7"/>
        <v>0.11602443609022547</v>
      </c>
    </row>
    <row r="38" spans="1:21" ht="15" thickBot="1">
      <c r="A38" s="320">
        <v>2029</v>
      </c>
      <c r="B38" s="321" t="s">
        <v>265</v>
      </c>
      <c r="C38" s="322">
        <f t="shared" si="8"/>
        <v>0.10002744866207705</v>
      </c>
      <c r="D38" s="323">
        <v>1.0900000000000001</v>
      </c>
      <c r="E38" s="323">
        <f t="shared" si="15"/>
        <v>7099.9483060342272</v>
      </c>
      <c r="F38" s="323">
        <f t="shared" si="16"/>
        <v>97709.056680441208</v>
      </c>
      <c r="G38" s="323">
        <f t="shared" si="10"/>
        <v>1419.9896612068455</v>
      </c>
      <c r="H38" s="324">
        <f>G38*Valores!$D$7</f>
        <v>5150689.7711048303</v>
      </c>
      <c r="I38" s="324">
        <f>G38*Valores!$D$9</f>
        <v>3194976.7377154026</v>
      </c>
      <c r="J38" s="324">
        <f t="shared" si="1"/>
        <v>1955713.0333894277</v>
      </c>
      <c r="K38" s="324">
        <f>H38*'P&amp;L'!$B$22</f>
        <v>257534.48855524152</v>
      </c>
      <c r="L38" s="324">
        <f>H38*'P&amp;L'!$B$29</f>
        <v>103013.79542209661</v>
      </c>
      <c r="M38" s="324">
        <f>H38*'P&amp;L'!$B$35</f>
        <v>128767.24427762076</v>
      </c>
      <c r="N38" s="324">
        <f>H38*'P&amp;L'!$B$41</f>
        <v>412055.18168838642</v>
      </c>
      <c r="O38" s="324">
        <f>H38*'P&amp;L'!$B$46</f>
        <v>257534.48855524152</v>
      </c>
      <c r="P38" s="324">
        <f t="shared" si="2"/>
        <v>1158905.1984985869</v>
      </c>
      <c r="Q38" s="325">
        <f t="shared" si="3"/>
        <v>0.22500000000000001</v>
      </c>
      <c r="R38" s="324">
        <f t="shared" si="4"/>
        <v>796807.83489084081</v>
      </c>
      <c r="S38" s="324">
        <f t="shared" si="5"/>
        <v>199201.9587227102</v>
      </c>
      <c r="T38" s="324">
        <f t="shared" si="6"/>
        <v>597605.87616813066</v>
      </c>
      <c r="U38" s="326">
        <f t="shared" si="7"/>
        <v>0.11602443609022552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9134-728B-4A58-8259-CFE593A06829}">
  <dimension ref="A1:N14"/>
  <sheetViews>
    <sheetView tabSelected="1" workbookViewId="0">
      <selection activeCell="B13" sqref="B13"/>
    </sheetView>
  </sheetViews>
  <sheetFormatPr baseColWidth="10" defaultRowHeight="14.4"/>
  <cols>
    <col min="1" max="1" width="27.109375" customWidth="1"/>
    <col min="2" max="2" width="11.5546875" style="267"/>
  </cols>
  <sheetData>
    <row r="1" spans="1:14" ht="21.6" thickBot="1">
      <c r="A1" s="349" t="s">
        <v>0</v>
      </c>
    </row>
    <row r="2" spans="1:14" ht="15" thickBot="1">
      <c r="C2" s="341">
        <v>2026</v>
      </c>
      <c r="D2" s="342"/>
      <c r="E2" s="341">
        <v>2027</v>
      </c>
      <c r="F2" s="343"/>
      <c r="G2" s="343"/>
      <c r="H2" s="342"/>
      <c r="I2" s="341">
        <v>2028</v>
      </c>
      <c r="J2" s="343"/>
      <c r="K2" s="343"/>
      <c r="L2" s="342"/>
      <c r="M2" s="341">
        <v>2029</v>
      </c>
      <c r="N2" s="342"/>
    </row>
    <row r="3" spans="1:14" ht="15" thickBot="1">
      <c r="A3" s="347" t="s">
        <v>1</v>
      </c>
      <c r="B3" s="348" t="s">
        <v>2</v>
      </c>
      <c r="C3" s="344" t="s">
        <v>309</v>
      </c>
      <c r="D3" s="345" t="s">
        <v>310</v>
      </c>
      <c r="E3" s="345" t="s">
        <v>311</v>
      </c>
      <c r="F3" s="345" t="s">
        <v>312</v>
      </c>
      <c r="G3" s="345" t="s">
        <v>309</v>
      </c>
      <c r="H3" s="345" t="s">
        <v>310</v>
      </c>
      <c r="I3" s="345" t="s">
        <v>311</v>
      </c>
      <c r="J3" s="344" t="s">
        <v>312</v>
      </c>
      <c r="K3" s="345" t="s">
        <v>309</v>
      </c>
      <c r="L3" s="346" t="s">
        <v>310</v>
      </c>
      <c r="M3" s="345" t="s">
        <v>311</v>
      </c>
      <c r="N3" s="345" t="s">
        <v>312</v>
      </c>
    </row>
    <row r="4" spans="1:14">
      <c r="A4" s="329" t="s">
        <v>3</v>
      </c>
      <c r="B4" s="330"/>
      <c r="C4" s="334">
        <f>SUM(Objetivo!$H2:$H4)</f>
        <v>686914.77272727271</v>
      </c>
      <c r="D4" s="334">
        <f>SUM(Objetivo!H5:H7)</f>
        <v>1242610.120738636</v>
      </c>
      <c r="E4" s="334">
        <f>SUM(Objetivo!H8:H10)</f>
        <v>1838721.782004545</v>
      </c>
      <c r="F4" s="332">
        <f>SUM(Objetivo!H11:H13)</f>
        <v>2398202.9200132298</v>
      </c>
      <c r="G4" s="332">
        <f>SUM(Objetivo!H14:H16)</f>
        <v>3143903.6975209527</v>
      </c>
      <c r="H4" s="332">
        <f>SUM(Objetivo!H17:H19)</f>
        <v>3906044.7079445189</v>
      </c>
      <c r="I4" s="332">
        <f>SUM(Objetivo!H20:H22)</f>
        <v>4910213.4760314673</v>
      </c>
      <c r="J4" s="334">
        <f>SUM(Objetivo!H23:H25)</f>
        <v>6208736.089420856</v>
      </c>
      <c r="K4" s="334">
        <f>SUM(Objetivo!H26:H28)</f>
        <v>7826820.4877655879</v>
      </c>
      <c r="L4" s="334">
        <f>SUM(Objetivo!H29:H31)</f>
        <v>9392478.7893560734</v>
      </c>
      <c r="M4" s="334">
        <f>SUM(Objetivo!H32:H34)</f>
        <v>11084732.246439658</v>
      </c>
      <c r="N4" s="334">
        <f>SUM(Objetivo!H35:H37)</f>
        <v>13093410.439834252</v>
      </c>
    </row>
    <row r="5" spans="1:14">
      <c r="A5" s="327" t="s">
        <v>4</v>
      </c>
      <c r="B5" s="328"/>
      <c r="C5" s="333">
        <f>SUM(Objetivo!I2:I4)</f>
        <v>426093.75</v>
      </c>
      <c r="D5" s="333">
        <f>SUM(Objetivo!I5:I7)</f>
        <v>770791.99218749977</v>
      </c>
      <c r="E5" s="333">
        <f>SUM(Objetivo!I8:I10)</f>
        <v>1140560.5038749999</v>
      </c>
      <c r="F5" s="333">
        <f>SUM(Objetivo!I11:I13)</f>
        <v>1487607.0744442968</v>
      </c>
      <c r="G5" s="333">
        <f>SUM(Objetivo!I14:I16)</f>
        <v>1950165.8274096134</v>
      </c>
      <c r="H5" s="333">
        <f>SUM(Objetivo!I17:I19)</f>
        <v>2422922.4692137055</v>
      </c>
      <c r="I5" s="333">
        <f>SUM(Objetivo!I20:I22)</f>
        <v>3045809.1110721519</v>
      </c>
      <c r="J5" s="333">
        <f>SUM(Objetivo!I23:I25)</f>
        <v>3851283.6644903808</v>
      </c>
      <c r="K5" s="333">
        <f>SUM(Objetivo!I26:I28)</f>
        <v>4854982.6333884289</v>
      </c>
      <c r="L5" s="333">
        <f>SUM(Objetivo!I29:I31)</f>
        <v>5826161.6550516998</v>
      </c>
      <c r="M5" s="333">
        <f>SUM(Objetivo!I32:I34)</f>
        <v>6875867.7468516668</v>
      </c>
      <c r="N5" s="333">
        <f>SUM(Objetivo!I35:I37)</f>
        <v>8121852.3404986914</v>
      </c>
    </row>
    <row r="6" spans="1:14">
      <c r="A6" s="338" t="s">
        <v>5</v>
      </c>
      <c r="B6" s="339"/>
      <c r="C6" s="340">
        <f>C4-C5</f>
        <v>260821.02272727271</v>
      </c>
      <c r="D6" s="340">
        <f t="shared" ref="D6:N6" si="0">D4-D5</f>
        <v>471818.12855113624</v>
      </c>
      <c r="E6" s="340">
        <f t="shared" si="0"/>
        <v>698161.27812954504</v>
      </c>
      <c r="F6" s="340">
        <f t="shared" si="0"/>
        <v>910595.84556893306</v>
      </c>
      <c r="G6" s="340">
        <f t="shared" si="0"/>
        <v>1193737.8701113393</v>
      </c>
      <c r="H6" s="340">
        <f t="shared" si="0"/>
        <v>1483122.2387308134</v>
      </c>
      <c r="I6" s="340">
        <f t="shared" si="0"/>
        <v>1864404.3649593154</v>
      </c>
      <c r="J6" s="340">
        <f t="shared" si="0"/>
        <v>2357452.4249304752</v>
      </c>
      <c r="K6" s="340">
        <f t="shared" si="0"/>
        <v>2971837.8543771589</v>
      </c>
      <c r="L6" s="340">
        <f t="shared" si="0"/>
        <v>3566317.1343043735</v>
      </c>
      <c r="M6" s="340">
        <f t="shared" si="0"/>
        <v>4208864.4995879913</v>
      </c>
      <c r="N6" s="340">
        <f t="shared" si="0"/>
        <v>4971558.0993355606</v>
      </c>
    </row>
    <row r="7" spans="1:14">
      <c r="A7" s="327" t="s">
        <v>6</v>
      </c>
      <c r="B7" s="328">
        <v>0.05</v>
      </c>
      <c r="C7" s="333">
        <f>C$4*$B$7</f>
        <v>34345.73863636364</v>
      </c>
      <c r="D7" s="333">
        <f t="shared" ref="D7:N7" si="1">D$4*$B$7</f>
        <v>62130.506036931802</v>
      </c>
      <c r="E7" s="333">
        <f t="shared" si="1"/>
        <v>91936.089100227255</v>
      </c>
      <c r="F7" s="333">
        <f t="shared" si="1"/>
        <v>119910.14600066149</v>
      </c>
      <c r="G7" s="333">
        <f t="shared" si="1"/>
        <v>157195.18487604766</v>
      </c>
      <c r="H7" s="333">
        <f t="shared" si="1"/>
        <v>195302.23539722594</v>
      </c>
      <c r="I7" s="333">
        <f t="shared" si="1"/>
        <v>245510.67380157337</v>
      </c>
      <c r="J7" s="333">
        <f t="shared" si="1"/>
        <v>310436.80447104282</v>
      </c>
      <c r="K7" s="333">
        <f t="shared" si="1"/>
        <v>391341.02438827942</v>
      </c>
      <c r="L7" s="333">
        <f t="shared" si="1"/>
        <v>469623.93946780369</v>
      </c>
      <c r="M7" s="333">
        <f t="shared" si="1"/>
        <v>554236.61232198298</v>
      </c>
      <c r="N7" s="333">
        <f t="shared" si="1"/>
        <v>654670.52199171262</v>
      </c>
    </row>
    <row r="8" spans="1:14">
      <c r="A8" s="327" t="s">
        <v>7</v>
      </c>
      <c r="B8" s="328">
        <v>0.02</v>
      </c>
      <c r="C8" s="333">
        <f>C$4*$B$8</f>
        <v>13738.295454545454</v>
      </c>
      <c r="D8" s="333">
        <f t="shared" ref="D8:N8" si="2">D$4*$B$8</f>
        <v>24852.202414772721</v>
      </c>
      <c r="E8" s="333">
        <f t="shared" si="2"/>
        <v>36774.435640090902</v>
      </c>
      <c r="F8" s="333">
        <f t="shared" si="2"/>
        <v>47964.058400264599</v>
      </c>
      <c r="G8" s="333">
        <f t="shared" si="2"/>
        <v>62878.073950419057</v>
      </c>
      <c r="H8" s="333">
        <f t="shared" si="2"/>
        <v>78120.894158890384</v>
      </c>
      <c r="I8" s="333">
        <f t="shared" si="2"/>
        <v>98204.269520629343</v>
      </c>
      <c r="J8" s="333">
        <f t="shared" si="2"/>
        <v>124174.72178841713</v>
      </c>
      <c r="K8" s="333">
        <f t="shared" si="2"/>
        <v>156536.40975531176</v>
      </c>
      <c r="L8" s="333">
        <f t="shared" si="2"/>
        <v>187849.57578712146</v>
      </c>
      <c r="M8" s="333">
        <f t="shared" si="2"/>
        <v>221694.64492879316</v>
      </c>
      <c r="N8" s="333">
        <f t="shared" si="2"/>
        <v>261868.20879668504</v>
      </c>
    </row>
    <row r="9" spans="1:14">
      <c r="A9" s="327" t="s">
        <v>8</v>
      </c>
      <c r="B9" s="328">
        <v>2.5000000000000001E-2</v>
      </c>
      <c r="C9" s="333">
        <f>C$4*$B$9</f>
        <v>17172.86931818182</v>
      </c>
      <c r="D9" s="333">
        <f t="shared" ref="D9:N9" si="3">D$4*$B$9</f>
        <v>31065.253018465901</v>
      </c>
      <c r="E9" s="333">
        <f t="shared" si="3"/>
        <v>45968.044550113627</v>
      </c>
      <c r="F9" s="333">
        <f t="shared" si="3"/>
        <v>59955.073000330747</v>
      </c>
      <c r="G9" s="333">
        <f t="shared" si="3"/>
        <v>78597.592438023828</v>
      </c>
      <c r="H9" s="333">
        <f t="shared" si="3"/>
        <v>97651.117698612972</v>
      </c>
      <c r="I9" s="333">
        <f t="shared" si="3"/>
        <v>122755.33690078669</v>
      </c>
      <c r="J9" s="333">
        <f t="shared" si="3"/>
        <v>155218.40223552141</v>
      </c>
      <c r="K9" s="333">
        <f t="shared" si="3"/>
        <v>195670.51219413971</v>
      </c>
      <c r="L9" s="333">
        <f t="shared" si="3"/>
        <v>234811.96973390185</v>
      </c>
      <c r="M9" s="333">
        <f t="shared" si="3"/>
        <v>277118.30616099149</v>
      </c>
      <c r="N9" s="333">
        <f t="shared" si="3"/>
        <v>327335.26099585631</v>
      </c>
    </row>
    <row r="10" spans="1:14">
      <c r="A10" s="327" t="s">
        <v>9</v>
      </c>
      <c r="B10" s="328">
        <v>0.08</v>
      </c>
      <c r="C10" s="333">
        <f>C$4*$B$10</f>
        <v>54953.181818181816</v>
      </c>
      <c r="D10" s="333">
        <f t="shared" ref="D10:N10" si="4">D$4*$B$10</f>
        <v>99408.809659090883</v>
      </c>
      <c r="E10" s="333">
        <f t="shared" si="4"/>
        <v>147097.74256036361</v>
      </c>
      <c r="F10" s="333">
        <f t="shared" si="4"/>
        <v>191856.2336010584</v>
      </c>
      <c r="G10" s="333">
        <f t="shared" si="4"/>
        <v>251512.29580167623</v>
      </c>
      <c r="H10" s="333">
        <f t="shared" si="4"/>
        <v>312483.57663556153</v>
      </c>
      <c r="I10" s="333">
        <f t="shared" si="4"/>
        <v>392817.07808251737</v>
      </c>
      <c r="J10" s="333">
        <f t="shared" si="4"/>
        <v>496698.8871536685</v>
      </c>
      <c r="K10" s="333">
        <f t="shared" si="4"/>
        <v>626145.63902124704</v>
      </c>
      <c r="L10" s="333">
        <f t="shared" si="4"/>
        <v>751398.30314848584</v>
      </c>
      <c r="M10" s="333">
        <f t="shared" si="4"/>
        <v>886778.57971517264</v>
      </c>
      <c r="N10" s="333">
        <f t="shared" si="4"/>
        <v>1047472.8351867402</v>
      </c>
    </row>
    <row r="11" spans="1:14">
      <c r="A11" s="327" t="s">
        <v>10</v>
      </c>
      <c r="B11" s="328">
        <v>0.05</v>
      </c>
      <c r="C11" s="333">
        <f>C$4*$B$11</f>
        <v>34345.73863636364</v>
      </c>
      <c r="D11" s="333">
        <f t="shared" ref="D11:N11" si="5">D$4*$B$11</f>
        <v>62130.506036931802</v>
      </c>
      <c r="E11" s="333">
        <f t="shared" si="5"/>
        <v>91936.089100227255</v>
      </c>
      <c r="F11" s="333">
        <f t="shared" si="5"/>
        <v>119910.14600066149</v>
      </c>
      <c r="G11" s="333">
        <f t="shared" si="5"/>
        <v>157195.18487604766</v>
      </c>
      <c r="H11" s="333">
        <f t="shared" si="5"/>
        <v>195302.23539722594</v>
      </c>
      <c r="I11" s="333">
        <f t="shared" si="5"/>
        <v>245510.67380157337</v>
      </c>
      <c r="J11" s="333">
        <f t="shared" si="5"/>
        <v>310436.80447104282</v>
      </c>
      <c r="K11" s="333">
        <f t="shared" si="5"/>
        <v>391341.02438827942</v>
      </c>
      <c r="L11" s="333">
        <f t="shared" si="5"/>
        <v>469623.93946780369</v>
      </c>
      <c r="M11" s="333">
        <f t="shared" si="5"/>
        <v>554236.61232198298</v>
      </c>
      <c r="N11" s="333">
        <f t="shared" si="5"/>
        <v>654670.52199171262</v>
      </c>
    </row>
    <row r="12" spans="1:14">
      <c r="A12" s="338" t="s">
        <v>11</v>
      </c>
      <c r="B12" s="339"/>
      <c r="C12" s="340">
        <f>C6-C7-C8-C9-C10-C11</f>
        <v>106265.19886363632</v>
      </c>
      <c r="D12" s="340">
        <f t="shared" ref="D12:N12" si="6">D6-D7-D8-D9-D10-D11</f>
        <v>192230.85138494315</v>
      </c>
      <c r="E12" s="340">
        <f t="shared" si="6"/>
        <v>284448.87717852253</v>
      </c>
      <c r="F12" s="340">
        <f t="shared" si="6"/>
        <v>371000.18856595637</v>
      </c>
      <c r="G12" s="340">
        <f t="shared" si="6"/>
        <v>486359.53816912486</v>
      </c>
      <c r="H12" s="340">
        <f t="shared" si="6"/>
        <v>604262.17944329663</v>
      </c>
      <c r="I12" s="340">
        <f t="shared" si="6"/>
        <v>759606.33285223506</v>
      </c>
      <c r="J12" s="340">
        <f t="shared" si="6"/>
        <v>960486.80481078231</v>
      </c>
      <c r="K12" s="340">
        <f t="shared" si="6"/>
        <v>1210803.2446299014</v>
      </c>
      <c r="L12" s="340">
        <f t="shared" si="6"/>
        <v>1453009.4066992574</v>
      </c>
      <c r="M12" s="340">
        <f t="shared" si="6"/>
        <v>1714799.7441390678</v>
      </c>
      <c r="N12" s="340">
        <f t="shared" si="6"/>
        <v>2025540.7503728536</v>
      </c>
    </row>
    <row r="13" spans="1:14">
      <c r="A13" s="327" t="s">
        <v>12</v>
      </c>
      <c r="B13" s="328"/>
      <c r="C13" s="333">
        <f>C12*0.25</f>
        <v>26566.299715909081</v>
      </c>
      <c r="D13" s="333">
        <f t="shared" ref="D13:N13" si="7">D12*0.25</f>
        <v>48057.712846235787</v>
      </c>
      <c r="E13" s="333">
        <f t="shared" si="7"/>
        <v>71112.219294630631</v>
      </c>
      <c r="F13" s="333">
        <f t="shared" si="7"/>
        <v>92750.047141489093</v>
      </c>
      <c r="G13" s="333">
        <f t="shared" si="7"/>
        <v>121589.88454228122</v>
      </c>
      <c r="H13" s="333">
        <f t="shared" si="7"/>
        <v>151065.54486082416</v>
      </c>
      <c r="I13" s="333">
        <f t="shared" si="7"/>
        <v>189901.58321305877</v>
      </c>
      <c r="J13" s="333">
        <f t="shared" si="7"/>
        <v>240121.70120269558</v>
      </c>
      <c r="K13" s="333">
        <f t="shared" si="7"/>
        <v>302700.81115747534</v>
      </c>
      <c r="L13" s="333">
        <f t="shared" si="7"/>
        <v>363252.35167481436</v>
      </c>
      <c r="M13" s="333">
        <f t="shared" si="7"/>
        <v>428699.93603476696</v>
      </c>
      <c r="N13" s="333">
        <f t="shared" si="7"/>
        <v>506385.1875932134</v>
      </c>
    </row>
    <row r="14" spans="1:14" ht="15" thickBot="1">
      <c r="A14" s="335" t="s">
        <v>13</v>
      </c>
      <c r="B14" s="336"/>
      <c r="C14" s="337">
        <f>C12-C13</f>
        <v>79698.899147727236</v>
      </c>
      <c r="D14" s="337">
        <f t="shared" ref="D14:N14" si="8">D12-D13</f>
        <v>144173.13853870737</v>
      </c>
      <c r="E14" s="337">
        <f t="shared" si="8"/>
        <v>213336.65788389189</v>
      </c>
      <c r="F14" s="337">
        <f t="shared" si="8"/>
        <v>278250.14142446726</v>
      </c>
      <c r="G14" s="337">
        <f t="shared" si="8"/>
        <v>364769.65362684365</v>
      </c>
      <c r="H14" s="337">
        <f t="shared" si="8"/>
        <v>453196.6345824725</v>
      </c>
      <c r="I14" s="337">
        <f t="shared" si="8"/>
        <v>569704.7496391763</v>
      </c>
      <c r="J14" s="337">
        <f t="shared" si="8"/>
        <v>720365.10360808671</v>
      </c>
      <c r="K14" s="337">
        <f t="shared" si="8"/>
        <v>908102.43347242603</v>
      </c>
      <c r="L14" s="337">
        <f t="shared" si="8"/>
        <v>1089757.0550244432</v>
      </c>
      <c r="M14" s="337">
        <f t="shared" si="8"/>
        <v>1286099.8081043009</v>
      </c>
      <c r="N14" s="337">
        <f t="shared" si="8"/>
        <v>1519155.5627796403</v>
      </c>
    </row>
  </sheetData>
  <mergeCells count="4">
    <mergeCell ref="C2:D2"/>
    <mergeCell ref="E2:H2"/>
    <mergeCell ref="I2:L2"/>
    <mergeCell ref="M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E5C6-ADA7-4599-AB3A-7DF42846BFBC}">
  <dimension ref="A4:AR52"/>
  <sheetViews>
    <sheetView workbookViewId="0">
      <selection activeCell="E13" sqref="E13"/>
    </sheetView>
  </sheetViews>
  <sheetFormatPr baseColWidth="10" defaultRowHeight="14.4"/>
  <cols>
    <col min="1" max="1" width="42.6640625" customWidth="1"/>
  </cols>
  <sheetData>
    <row r="4" spans="1:44" ht="15" thickBot="1"/>
    <row r="5" spans="1:44" ht="15" thickBot="1">
      <c r="C5" s="279">
        <v>2026</v>
      </c>
      <c r="D5" s="280"/>
      <c r="E5" s="280"/>
      <c r="F5" s="280"/>
      <c r="G5" s="280"/>
      <c r="H5" s="281"/>
      <c r="I5" s="279">
        <v>2027</v>
      </c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1"/>
      <c r="U5" s="279">
        <v>2028</v>
      </c>
      <c r="V5" s="280"/>
      <c r="W5" s="280"/>
      <c r="X5" s="280"/>
      <c r="Y5" s="280"/>
      <c r="Z5" s="280"/>
      <c r="AA5" s="280"/>
      <c r="AB5" s="280"/>
      <c r="AC5" s="280"/>
      <c r="AD5" s="280"/>
      <c r="AE5" s="280"/>
      <c r="AF5" s="281"/>
      <c r="AG5" s="279">
        <v>2029</v>
      </c>
      <c r="AH5" s="280"/>
      <c r="AI5" s="280"/>
      <c r="AJ5" s="280"/>
      <c r="AK5" s="280"/>
      <c r="AL5" s="280"/>
      <c r="AM5" s="280"/>
      <c r="AN5" s="280"/>
      <c r="AO5" s="280"/>
      <c r="AP5" s="280"/>
      <c r="AQ5" s="280"/>
      <c r="AR5" s="281"/>
    </row>
    <row r="6" spans="1:44" ht="15" thickBot="1">
      <c r="C6" s="282"/>
      <c r="D6" s="283" t="s">
        <v>309</v>
      </c>
      <c r="E6" s="284"/>
      <c r="F6" s="282"/>
      <c r="G6" s="283" t="s">
        <v>310</v>
      </c>
      <c r="H6" s="284"/>
      <c r="I6" s="282"/>
      <c r="J6" s="283" t="s">
        <v>311</v>
      </c>
      <c r="K6" s="284"/>
      <c r="L6" s="282"/>
      <c r="M6" s="283" t="s">
        <v>312</v>
      </c>
      <c r="N6" s="284"/>
      <c r="O6" s="282"/>
      <c r="P6" s="283" t="s">
        <v>309</v>
      </c>
      <c r="Q6" s="284"/>
      <c r="R6" s="282"/>
      <c r="S6" s="283" t="s">
        <v>310</v>
      </c>
      <c r="T6" s="284"/>
      <c r="U6" s="282"/>
      <c r="V6" s="283" t="s">
        <v>311</v>
      </c>
      <c r="W6" s="284"/>
      <c r="X6" s="282"/>
      <c r="Y6" s="283" t="s">
        <v>312</v>
      </c>
      <c r="Z6" s="284"/>
      <c r="AA6" s="282"/>
      <c r="AB6" s="283" t="s">
        <v>309</v>
      </c>
      <c r="AC6" s="284"/>
      <c r="AD6" s="282"/>
      <c r="AE6" s="283" t="s">
        <v>310</v>
      </c>
      <c r="AF6" s="284"/>
      <c r="AG6" s="282"/>
      <c r="AH6" s="283" t="s">
        <v>311</v>
      </c>
      <c r="AI6" s="284"/>
      <c r="AJ6" s="282"/>
      <c r="AK6" s="283" t="s">
        <v>312</v>
      </c>
      <c r="AL6" s="284"/>
      <c r="AM6" s="282"/>
      <c r="AN6" s="283" t="s">
        <v>309</v>
      </c>
      <c r="AO6" s="284"/>
      <c r="AP6" s="282"/>
      <c r="AQ6" s="283" t="s">
        <v>310</v>
      </c>
      <c r="AR6" s="284"/>
    </row>
    <row r="7" spans="1:44" ht="15" thickBot="1">
      <c r="A7" s="1" t="s">
        <v>14</v>
      </c>
      <c r="B7" s="1"/>
      <c r="C7" s="276" t="s">
        <v>297</v>
      </c>
      <c r="D7" s="277" t="s">
        <v>298</v>
      </c>
      <c r="E7" s="277" t="s">
        <v>299</v>
      </c>
      <c r="F7" s="277" t="s">
        <v>300</v>
      </c>
      <c r="G7" s="277" t="s">
        <v>301</v>
      </c>
      <c r="H7" s="278" t="s">
        <v>302</v>
      </c>
      <c r="I7" s="285" t="s">
        <v>303</v>
      </c>
      <c r="J7" s="277" t="s">
        <v>304</v>
      </c>
      <c r="K7" s="277" t="s">
        <v>305</v>
      </c>
      <c r="L7" s="277" t="s">
        <v>306</v>
      </c>
      <c r="M7" s="277" t="s">
        <v>307</v>
      </c>
      <c r="N7" s="277" t="s">
        <v>308</v>
      </c>
      <c r="O7" s="277" t="s">
        <v>297</v>
      </c>
      <c r="P7" s="277" t="s">
        <v>298</v>
      </c>
      <c r="Q7" s="277" t="s">
        <v>299</v>
      </c>
      <c r="R7" s="277" t="s">
        <v>300</v>
      </c>
      <c r="S7" s="277" t="s">
        <v>301</v>
      </c>
      <c r="T7" s="277" t="s">
        <v>302</v>
      </c>
      <c r="U7" s="277" t="s">
        <v>303</v>
      </c>
      <c r="V7" s="277" t="s">
        <v>304</v>
      </c>
      <c r="W7" s="277" t="s">
        <v>305</v>
      </c>
      <c r="X7" s="277" t="s">
        <v>306</v>
      </c>
      <c r="Y7" s="277" t="s">
        <v>307</v>
      </c>
      <c r="Z7" s="277" t="s">
        <v>308</v>
      </c>
      <c r="AA7" s="277" t="s">
        <v>297</v>
      </c>
      <c r="AB7" s="277" t="s">
        <v>298</v>
      </c>
      <c r="AC7" s="277" t="s">
        <v>299</v>
      </c>
      <c r="AD7" s="277" t="s">
        <v>300</v>
      </c>
      <c r="AE7" s="277" t="s">
        <v>301</v>
      </c>
      <c r="AF7" s="277" t="s">
        <v>302</v>
      </c>
      <c r="AG7" s="277" t="s">
        <v>303</v>
      </c>
      <c r="AH7" s="277" t="s">
        <v>304</v>
      </c>
      <c r="AI7" s="277" t="s">
        <v>305</v>
      </c>
      <c r="AJ7" s="277" t="s">
        <v>306</v>
      </c>
      <c r="AK7" s="277" t="s">
        <v>307</v>
      </c>
      <c r="AL7" s="277" t="s">
        <v>308</v>
      </c>
      <c r="AM7" s="277" t="s">
        <v>297</v>
      </c>
      <c r="AN7" s="277" t="s">
        <v>298</v>
      </c>
      <c r="AO7" s="277" t="s">
        <v>299</v>
      </c>
      <c r="AP7" s="277" t="s">
        <v>300</v>
      </c>
      <c r="AQ7" s="277" t="s">
        <v>301</v>
      </c>
      <c r="AR7" s="278" t="s">
        <v>302</v>
      </c>
    </row>
    <row r="8" spans="1:44">
      <c r="A8" s="2" t="s">
        <v>3</v>
      </c>
      <c r="B8" s="3">
        <v>1</v>
      </c>
      <c r="C8" s="289"/>
      <c r="D8" s="290"/>
      <c r="E8" s="290"/>
      <c r="F8" s="290"/>
      <c r="G8" s="290"/>
      <c r="H8" s="291"/>
    </row>
    <row r="9" spans="1:44">
      <c r="A9" s="2" t="s">
        <v>15</v>
      </c>
      <c r="B9" s="2"/>
      <c r="C9" s="252"/>
      <c r="D9" s="221"/>
      <c r="E9" s="221"/>
      <c r="F9" s="221"/>
      <c r="G9" s="221"/>
      <c r="H9" s="286"/>
    </row>
    <row r="10" spans="1:44">
      <c r="A10" s="2" t="s">
        <v>16</v>
      </c>
      <c r="B10" s="2"/>
      <c r="C10" s="252"/>
      <c r="D10" s="221"/>
      <c r="E10" s="221"/>
      <c r="F10" s="221"/>
      <c r="G10" s="221"/>
      <c r="H10" s="286"/>
    </row>
    <row r="11" spans="1:44">
      <c r="A11" s="2" t="s">
        <v>17</v>
      </c>
      <c r="B11" s="2"/>
      <c r="C11" s="252"/>
      <c r="D11" s="221"/>
      <c r="E11" s="221"/>
      <c r="F11" s="221"/>
      <c r="G11" s="221"/>
      <c r="H11" s="286"/>
    </row>
    <row r="12" spans="1:44">
      <c r="A12" t="s">
        <v>47</v>
      </c>
      <c r="B12" s="3">
        <v>0.7</v>
      </c>
      <c r="C12" s="252"/>
      <c r="D12" s="221"/>
      <c r="E12" s="221"/>
      <c r="F12" s="221"/>
      <c r="G12" s="221"/>
      <c r="H12" s="286"/>
    </row>
    <row r="13" spans="1:44">
      <c r="A13" s="4" t="s">
        <v>18</v>
      </c>
      <c r="B13" s="5">
        <v>0.3</v>
      </c>
      <c r="C13" s="252"/>
      <c r="D13" s="221"/>
      <c r="E13" s="221"/>
      <c r="F13" s="221"/>
      <c r="G13" s="221"/>
      <c r="H13" s="286"/>
    </row>
    <row r="14" spans="1:44">
      <c r="A14" s="2"/>
      <c r="B14" s="2"/>
      <c r="C14" s="252"/>
      <c r="D14" s="221"/>
      <c r="E14" s="221"/>
      <c r="F14" s="221"/>
      <c r="G14" s="221"/>
      <c r="H14" s="286"/>
    </row>
    <row r="15" spans="1:44">
      <c r="A15" s="4" t="s">
        <v>19</v>
      </c>
      <c r="B15" s="2"/>
      <c r="C15" s="252"/>
      <c r="D15" s="221"/>
      <c r="E15" s="221"/>
      <c r="F15" s="221"/>
      <c r="G15" s="221"/>
      <c r="H15" s="286"/>
    </row>
    <row r="16" spans="1:44">
      <c r="A16" s="2" t="s">
        <v>20</v>
      </c>
      <c r="B16" s="3">
        <v>5.0000000000000001E-3</v>
      </c>
      <c r="C16" s="252"/>
      <c r="D16" s="221"/>
      <c r="E16" s="221"/>
      <c r="F16" s="221"/>
      <c r="G16" s="221"/>
      <c r="H16" s="286"/>
    </row>
    <row r="17" spans="1:8">
      <c r="A17" s="2" t="s">
        <v>21</v>
      </c>
      <c r="B17" s="3">
        <v>0.01</v>
      </c>
      <c r="C17" s="252"/>
      <c r="D17" s="221"/>
      <c r="E17" s="221"/>
      <c r="F17" s="221"/>
      <c r="G17" s="221"/>
      <c r="H17" s="286"/>
    </row>
    <row r="18" spans="1:8">
      <c r="A18" s="2" t="s">
        <v>22</v>
      </c>
      <c r="B18" s="3">
        <v>1.4999999999999999E-2</v>
      </c>
      <c r="C18" s="252"/>
      <c r="D18" s="221"/>
      <c r="E18" s="221"/>
      <c r="F18" s="221"/>
      <c r="G18" s="221"/>
      <c r="H18" s="286"/>
    </row>
    <row r="19" spans="1:8">
      <c r="A19" s="2" t="s">
        <v>23</v>
      </c>
      <c r="B19" s="3">
        <v>0.01</v>
      </c>
      <c r="C19" s="252"/>
      <c r="D19" s="221"/>
      <c r="E19" s="221"/>
      <c r="F19" s="221"/>
      <c r="G19" s="221"/>
      <c r="H19" s="286"/>
    </row>
    <row r="20" spans="1:8">
      <c r="A20" s="2" t="s">
        <v>24</v>
      </c>
      <c r="B20" s="3">
        <v>5.0000000000000001E-3</v>
      </c>
      <c r="C20" s="252"/>
      <c r="D20" s="221"/>
      <c r="E20" s="221"/>
      <c r="F20" s="221"/>
      <c r="G20" s="221"/>
      <c r="H20" s="286"/>
    </row>
    <row r="21" spans="1:8">
      <c r="A21" s="2" t="s">
        <v>25</v>
      </c>
      <c r="B21" s="3">
        <v>5.0000000000000001E-3</v>
      </c>
      <c r="C21" s="252"/>
      <c r="D21" s="221"/>
      <c r="E21" s="221"/>
      <c r="F21" s="221"/>
      <c r="G21" s="221"/>
      <c r="H21" s="286"/>
    </row>
    <row r="22" spans="1:8">
      <c r="A22" s="4" t="s">
        <v>26</v>
      </c>
      <c r="B22" s="5">
        <v>0.05</v>
      </c>
      <c r="C22" s="252"/>
      <c r="D22" s="221"/>
      <c r="E22" s="221"/>
      <c r="F22" s="221"/>
      <c r="G22" s="221"/>
      <c r="H22" s="286"/>
    </row>
    <row r="23" spans="1:8">
      <c r="A23" s="2"/>
      <c r="B23" s="2"/>
      <c r="C23" s="252"/>
      <c r="D23" s="221"/>
      <c r="E23" s="221"/>
      <c r="F23" s="221"/>
      <c r="G23" s="221"/>
      <c r="H23" s="286"/>
    </row>
    <row r="24" spans="1:8">
      <c r="A24" s="4" t="s">
        <v>7</v>
      </c>
      <c r="B24" s="2"/>
      <c r="C24" s="252"/>
      <c r="D24" s="221"/>
      <c r="E24" s="221"/>
      <c r="F24" s="221"/>
      <c r="G24" s="221"/>
      <c r="H24" s="286"/>
    </row>
    <row r="25" spans="1:8">
      <c r="A25" s="2" t="s">
        <v>27</v>
      </c>
      <c r="B25" s="3">
        <v>5.0000000000000001E-3</v>
      </c>
      <c r="C25" s="252"/>
      <c r="D25" s="221"/>
      <c r="E25" s="221"/>
      <c r="F25" s="221"/>
      <c r="G25" s="221"/>
      <c r="H25" s="286"/>
    </row>
    <row r="26" spans="1:8">
      <c r="A26" s="2" t="s">
        <v>28</v>
      </c>
      <c r="B26" s="3">
        <v>3.0000000000000001E-3</v>
      </c>
      <c r="C26" s="252"/>
      <c r="D26" s="221"/>
      <c r="E26" s="221"/>
      <c r="F26" s="221"/>
      <c r="G26" s="221"/>
      <c r="H26" s="286"/>
    </row>
    <row r="27" spans="1:8">
      <c r="A27" s="2" t="s">
        <v>29</v>
      </c>
      <c r="B27" s="3">
        <v>0.01</v>
      </c>
      <c r="C27" s="252"/>
      <c r="D27" s="221"/>
      <c r="E27" s="221"/>
      <c r="F27" s="221"/>
      <c r="G27" s="221"/>
      <c r="H27" s="286"/>
    </row>
    <row r="28" spans="1:8">
      <c r="A28" s="2" t="s">
        <v>30</v>
      </c>
      <c r="B28" s="3">
        <v>2E-3</v>
      </c>
      <c r="C28" s="252"/>
      <c r="D28" s="221"/>
      <c r="E28" s="221"/>
      <c r="F28" s="221"/>
      <c r="G28" s="221"/>
      <c r="H28" s="286"/>
    </row>
    <row r="29" spans="1:8">
      <c r="A29" s="4" t="s">
        <v>31</v>
      </c>
      <c r="B29" s="5">
        <v>0.02</v>
      </c>
      <c r="C29" s="252"/>
      <c r="D29" s="221"/>
      <c r="E29" s="221"/>
      <c r="F29" s="221"/>
      <c r="G29" s="221"/>
      <c r="H29" s="286"/>
    </row>
    <row r="30" spans="1:8">
      <c r="A30" s="2"/>
      <c r="B30" s="2"/>
      <c r="C30" s="252"/>
      <c r="D30" s="221"/>
      <c r="E30" s="221"/>
      <c r="F30" s="221"/>
      <c r="G30" s="221"/>
      <c r="H30" s="286"/>
    </row>
    <row r="31" spans="1:8">
      <c r="A31" s="4" t="s">
        <v>8</v>
      </c>
      <c r="B31" s="2"/>
      <c r="C31" s="252"/>
      <c r="D31" s="221"/>
      <c r="E31" s="221"/>
      <c r="F31" s="221"/>
      <c r="G31" s="221"/>
      <c r="H31" s="286"/>
    </row>
    <row r="32" spans="1:8">
      <c r="A32" s="2" t="s">
        <v>32</v>
      </c>
      <c r="B32" s="3">
        <v>0.01</v>
      </c>
      <c r="C32" s="252"/>
      <c r="D32" s="221"/>
      <c r="E32" s="221"/>
      <c r="F32" s="221"/>
      <c r="G32" s="221"/>
      <c r="H32" s="286"/>
    </row>
    <row r="33" spans="1:8">
      <c r="A33" s="2" t="s">
        <v>33</v>
      </c>
      <c r="B33" s="3">
        <v>5.0000000000000001E-3</v>
      </c>
      <c r="C33" s="252"/>
      <c r="D33" s="221"/>
      <c r="E33" s="221"/>
      <c r="F33" s="221"/>
      <c r="G33" s="221"/>
      <c r="H33" s="286"/>
    </row>
    <row r="34" spans="1:8">
      <c r="A34" s="2" t="s">
        <v>34</v>
      </c>
      <c r="B34" s="3">
        <v>0.01</v>
      </c>
      <c r="C34" s="252"/>
      <c r="D34" s="221"/>
      <c r="E34" s="221"/>
      <c r="F34" s="221"/>
      <c r="G34" s="221"/>
      <c r="H34" s="286"/>
    </row>
    <row r="35" spans="1:8">
      <c r="A35" s="4" t="s">
        <v>35</v>
      </c>
      <c r="B35" s="5">
        <v>2.5000000000000001E-2</v>
      </c>
      <c r="C35" s="252"/>
      <c r="D35" s="221"/>
      <c r="E35" s="221"/>
      <c r="F35" s="221"/>
      <c r="G35" s="221"/>
      <c r="H35" s="286"/>
    </row>
    <row r="36" spans="1:8">
      <c r="A36" s="2"/>
      <c r="B36" s="2"/>
      <c r="C36" s="252"/>
      <c r="D36" s="221"/>
      <c r="E36" s="221"/>
      <c r="F36" s="221"/>
      <c r="G36" s="221"/>
      <c r="H36" s="286"/>
    </row>
    <row r="37" spans="1:8">
      <c r="A37" s="4" t="s">
        <v>9</v>
      </c>
      <c r="B37" s="2"/>
      <c r="C37" s="252"/>
      <c r="D37" s="221"/>
      <c r="E37" s="221"/>
      <c r="F37" s="221"/>
      <c r="G37" s="221"/>
      <c r="H37" s="286"/>
    </row>
    <row r="38" spans="1:8">
      <c r="A38" s="2" t="s">
        <v>36</v>
      </c>
      <c r="B38" s="3">
        <v>0.05</v>
      </c>
      <c r="C38" s="252"/>
      <c r="D38" s="221"/>
      <c r="E38" s="221"/>
      <c r="F38" s="221"/>
      <c r="G38" s="221"/>
      <c r="H38" s="286"/>
    </row>
    <row r="39" spans="1:8">
      <c r="A39" s="2" t="s">
        <v>37</v>
      </c>
      <c r="B39" s="3">
        <v>0.01</v>
      </c>
      <c r="C39" s="252"/>
      <c r="D39" s="221"/>
      <c r="E39" s="221"/>
      <c r="F39" s="221"/>
      <c r="G39" s="221"/>
      <c r="H39" s="286"/>
    </row>
    <row r="40" spans="1:8">
      <c r="A40" s="2" t="s">
        <v>38</v>
      </c>
      <c r="B40" s="3">
        <v>0.02</v>
      </c>
      <c r="C40" s="252"/>
      <c r="D40" s="221"/>
      <c r="E40" s="221"/>
      <c r="F40" s="221"/>
      <c r="G40" s="221"/>
      <c r="H40" s="286"/>
    </row>
    <row r="41" spans="1:8">
      <c r="A41" s="4" t="s">
        <v>39</v>
      </c>
      <c r="B41" s="5">
        <f>SUM(B38:B40)</f>
        <v>0.08</v>
      </c>
      <c r="C41" s="252"/>
      <c r="D41" s="221"/>
      <c r="E41" s="221"/>
      <c r="F41" s="221"/>
      <c r="G41" s="221"/>
      <c r="H41" s="286"/>
    </row>
    <row r="42" spans="1:8">
      <c r="A42" s="2"/>
      <c r="B42" s="2"/>
      <c r="C42" s="252"/>
      <c r="D42" s="221"/>
      <c r="E42" s="221"/>
      <c r="F42" s="221"/>
      <c r="G42" s="221"/>
      <c r="H42" s="286"/>
    </row>
    <row r="43" spans="1:8">
      <c r="A43" s="4" t="s">
        <v>10</v>
      </c>
      <c r="B43" s="2"/>
      <c r="C43" s="252"/>
      <c r="D43" s="221"/>
      <c r="E43" s="221"/>
      <c r="F43" s="221"/>
      <c r="G43" s="221"/>
      <c r="H43" s="286"/>
    </row>
    <row r="44" spans="1:8">
      <c r="A44" s="2" t="s">
        <v>40</v>
      </c>
      <c r="B44" s="3">
        <v>0.03</v>
      </c>
      <c r="C44" s="252"/>
      <c r="D44" s="221"/>
      <c r="E44" s="221"/>
      <c r="F44" s="221"/>
      <c r="G44" s="221"/>
      <c r="H44" s="286"/>
    </row>
    <row r="45" spans="1:8">
      <c r="A45" s="2" t="s">
        <v>41</v>
      </c>
      <c r="B45" s="3">
        <v>0.02</v>
      </c>
      <c r="C45" s="252"/>
      <c r="D45" s="221"/>
      <c r="E45" s="221"/>
      <c r="F45" s="221"/>
      <c r="G45" s="221"/>
      <c r="H45" s="286"/>
    </row>
    <row r="46" spans="1:8">
      <c r="A46" s="4" t="s">
        <v>42</v>
      </c>
      <c r="B46" s="5">
        <v>0.05</v>
      </c>
      <c r="C46" s="252"/>
      <c r="D46" s="221"/>
      <c r="E46" s="221"/>
      <c r="F46" s="221"/>
      <c r="G46" s="221"/>
      <c r="H46" s="286"/>
    </row>
    <row r="47" spans="1:8">
      <c r="A47" s="2"/>
      <c r="B47" s="2"/>
      <c r="C47" s="252"/>
      <c r="D47" s="221"/>
      <c r="E47" s="221"/>
      <c r="F47" s="221"/>
      <c r="G47" s="221"/>
      <c r="H47" s="286"/>
    </row>
    <row r="48" spans="1:8">
      <c r="A48" s="4" t="s">
        <v>43</v>
      </c>
      <c r="B48" s="5">
        <v>7.4999999999999997E-2</v>
      </c>
      <c r="C48" s="252"/>
      <c r="D48" s="221"/>
      <c r="E48" s="221"/>
      <c r="F48" s="221"/>
      <c r="G48" s="221"/>
      <c r="H48" s="286"/>
    </row>
    <row r="49" spans="1:8">
      <c r="A49" s="2" t="s">
        <v>44</v>
      </c>
      <c r="B49" s="3">
        <v>0</v>
      </c>
      <c r="C49" s="252"/>
      <c r="D49" s="221"/>
      <c r="E49" s="221"/>
      <c r="F49" s="221"/>
      <c r="G49" s="221"/>
      <c r="H49" s="286"/>
    </row>
    <row r="50" spans="1:8">
      <c r="A50" s="4" t="s">
        <v>45</v>
      </c>
      <c r="B50" s="5">
        <f>B48-B49</f>
        <v>7.4999999999999997E-2</v>
      </c>
      <c r="C50" s="252"/>
      <c r="D50" s="221"/>
      <c r="E50" s="221"/>
      <c r="F50" s="221"/>
      <c r="G50" s="221"/>
      <c r="H50" s="286"/>
    </row>
    <row r="51" spans="1:8">
      <c r="A51" s="2" t="s">
        <v>46</v>
      </c>
      <c r="B51" s="3">
        <v>1.7500000000000002E-2</v>
      </c>
      <c r="C51" s="252"/>
      <c r="D51" s="221"/>
      <c r="E51" s="221"/>
      <c r="F51" s="221"/>
      <c r="G51" s="221"/>
      <c r="H51" s="286"/>
    </row>
    <row r="52" spans="1:8" ht="15" thickBot="1">
      <c r="A52" s="4" t="s">
        <v>13</v>
      </c>
      <c r="B52" s="5">
        <v>5.2499999999999998E-2</v>
      </c>
      <c r="C52" s="254"/>
      <c r="D52" s="287"/>
      <c r="E52" s="287"/>
      <c r="F52" s="287"/>
      <c r="G52" s="287"/>
      <c r="H52" s="288"/>
    </row>
  </sheetData>
  <mergeCells count="4">
    <mergeCell ref="C5:H5"/>
    <mergeCell ref="I5:T5"/>
    <mergeCell ref="U5:AF5"/>
    <mergeCell ref="AG5:AR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B0C4-140C-4369-9A83-B0DCE4CCF11B}">
  <sheetPr>
    <tabColor theme="9" tint="-0.249977111117893"/>
    <pageSetUpPr fitToPage="1"/>
  </sheetPr>
  <dimension ref="A2:BR675"/>
  <sheetViews>
    <sheetView view="pageBreakPreview" zoomScale="60" zoomScaleNormal="70" workbookViewId="0">
      <pane xSplit="2" ySplit="14" topLeftCell="Y24" activePane="bottomRight" state="frozen"/>
      <selection activeCell="B66" sqref="B66"/>
      <selection pane="topRight" activeCell="B66" sqref="B66"/>
      <selection pane="bottomLeft" activeCell="B66" sqref="B66"/>
      <selection pane="bottomRight" activeCell="Z48" sqref="Z48:AL48"/>
    </sheetView>
  </sheetViews>
  <sheetFormatPr baseColWidth="10" defaultColWidth="14.109375" defaultRowHeight="15"/>
  <cols>
    <col min="1" max="1" width="49.21875" style="6" customWidth="1"/>
    <col min="2" max="2" width="52.5546875" style="7" customWidth="1"/>
    <col min="3" max="9" width="12" style="6" customWidth="1"/>
    <col min="10" max="11" width="12.77734375" style="6" customWidth="1"/>
    <col min="12" max="19" width="12.44140625" style="6" customWidth="1"/>
    <col min="20" max="23" width="12.44140625" style="9" customWidth="1"/>
    <col min="24" max="30" width="12.88671875" style="9" customWidth="1"/>
    <col min="31" max="33" width="13.88671875" style="9" customWidth="1"/>
    <col min="34" max="35" width="12" style="6" customWidth="1"/>
    <col min="36" max="38" width="13.33203125" style="6" customWidth="1"/>
    <col min="39" max="39" width="7.5546875" style="6" customWidth="1"/>
    <col min="40" max="47" width="14.109375" style="6"/>
    <col min="48" max="48" width="15.6640625" style="6" customWidth="1"/>
    <col min="49" max="60" width="14.109375" style="6"/>
    <col min="61" max="61" width="0.109375" style="6" customWidth="1"/>
    <col min="62" max="68" width="12" style="6" customWidth="1"/>
    <col min="69" max="70" width="10.77734375" style="6" customWidth="1"/>
    <col min="71" max="256" width="14.109375" style="11"/>
    <col min="257" max="257" width="49.21875" style="11" customWidth="1"/>
    <col min="258" max="258" width="52.5546875" style="11" customWidth="1"/>
    <col min="259" max="265" width="12" style="11" customWidth="1"/>
    <col min="266" max="267" width="12.77734375" style="11" customWidth="1"/>
    <col min="268" max="279" width="12.44140625" style="11" customWidth="1"/>
    <col min="280" max="286" width="12.88671875" style="11" customWidth="1"/>
    <col min="287" max="289" width="13.88671875" style="11" customWidth="1"/>
    <col min="290" max="291" width="12" style="11" customWidth="1"/>
    <col min="292" max="294" width="13.33203125" style="11" customWidth="1"/>
    <col min="295" max="295" width="7.5546875" style="11" customWidth="1"/>
    <col min="296" max="303" width="14.109375" style="11"/>
    <col min="304" max="304" width="15.6640625" style="11" customWidth="1"/>
    <col min="305" max="316" width="14.109375" style="11"/>
    <col min="317" max="317" width="0.109375" style="11" customWidth="1"/>
    <col min="318" max="324" width="12" style="11" customWidth="1"/>
    <col min="325" max="326" width="10.77734375" style="11" customWidth="1"/>
    <col min="327" max="512" width="14.109375" style="11"/>
    <col min="513" max="513" width="49.21875" style="11" customWidth="1"/>
    <col min="514" max="514" width="52.5546875" style="11" customWidth="1"/>
    <col min="515" max="521" width="12" style="11" customWidth="1"/>
    <col min="522" max="523" width="12.77734375" style="11" customWidth="1"/>
    <col min="524" max="535" width="12.44140625" style="11" customWidth="1"/>
    <col min="536" max="542" width="12.88671875" style="11" customWidth="1"/>
    <col min="543" max="545" width="13.88671875" style="11" customWidth="1"/>
    <col min="546" max="547" width="12" style="11" customWidth="1"/>
    <col min="548" max="550" width="13.33203125" style="11" customWidth="1"/>
    <col min="551" max="551" width="7.5546875" style="11" customWidth="1"/>
    <col min="552" max="559" width="14.109375" style="11"/>
    <col min="560" max="560" width="15.6640625" style="11" customWidth="1"/>
    <col min="561" max="572" width="14.109375" style="11"/>
    <col min="573" max="573" width="0.109375" style="11" customWidth="1"/>
    <col min="574" max="580" width="12" style="11" customWidth="1"/>
    <col min="581" max="582" width="10.77734375" style="11" customWidth="1"/>
    <col min="583" max="768" width="14.109375" style="11"/>
    <col min="769" max="769" width="49.21875" style="11" customWidth="1"/>
    <col min="770" max="770" width="52.5546875" style="11" customWidth="1"/>
    <col min="771" max="777" width="12" style="11" customWidth="1"/>
    <col min="778" max="779" width="12.77734375" style="11" customWidth="1"/>
    <col min="780" max="791" width="12.44140625" style="11" customWidth="1"/>
    <col min="792" max="798" width="12.88671875" style="11" customWidth="1"/>
    <col min="799" max="801" width="13.88671875" style="11" customWidth="1"/>
    <col min="802" max="803" width="12" style="11" customWidth="1"/>
    <col min="804" max="806" width="13.33203125" style="11" customWidth="1"/>
    <col min="807" max="807" width="7.5546875" style="11" customWidth="1"/>
    <col min="808" max="815" width="14.109375" style="11"/>
    <col min="816" max="816" width="15.6640625" style="11" customWidth="1"/>
    <col min="817" max="828" width="14.109375" style="11"/>
    <col min="829" max="829" width="0.109375" style="11" customWidth="1"/>
    <col min="830" max="836" width="12" style="11" customWidth="1"/>
    <col min="837" max="838" width="10.77734375" style="11" customWidth="1"/>
    <col min="839" max="1024" width="14.109375" style="11"/>
    <col min="1025" max="1025" width="49.21875" style="11" customWidth="1"/>
    <col min="1026" max="1026" width="52.5546875" style="11" customWidth="1"/>
    <col min="1027" max="1033" width="12" style="11" customWidth="1"/>
    <col min="1034" max="1035" width="12.77734375" style="11" customWidth="1"/>
    <col min="1036" max="1047" width="12.44140625" style="11" customWidth="1"/>
    <col min="1048" max="1054" width="12.88671875" style="11" customWidth="1"/>
    <col min="1055" max="1057" width="13.88671875" style="11" customWidth="1"/>
    <col min="1058" max="1059" width="12" style="11" customWidth="1"/>
    <col min="1060" max="1062" width="13.33203125" style="11" customWidth="1"/>
    <col min="1063" max="1063" width="7.5546875" style="11" customWidth="1"/>
    <col min="1064" max="1071" width="14.109375" style="11"/>
    <col min="1072" max="1072" width="15.6640625" style="11" customWidth="1"/>
    <col min="1073" max="1084" width="14.109375" style="11"/>
    <col min="1085" max="1085" width="0.109375" style="11" customWidth="1"/>
    <col min="1086" max="1092" width="12" style="11" customWidth="1"/>
    <col min="1093" max="1094" width="10.77734375" style="11" customWidth="1"/>
    <col min="1095" max="1280" width="14.109375" style="11"/>
    <col min="1281" max="1281" width="49.21875" style="11" customWidth="1"/>
    <col min="1282" max="1282" width="52.5546875" style="11" customWidth="1"/>
    <col min="1283" max="1289" width="12" style="11" customWidth="1"/>
    <col min="1290" max="1291" width="12.77734375" style="11" customWidth="1"/>
    <col min="1292" max="1303" width="12.44140625" style="11" customWidth="1"/>
    <col min="1304" max="1310" width="12.88671875" style="11" customWidth="1"/>
    <col min="1311" max="1313" width="13.88671875" style="11" customWidth="1"/>
    <col min="1314" max="1315" width="12" style="11" customWidth="1"/>
    <col min="1316" max="1318" width="13.33203125" style="11" customWidth="1"/>
    <col min="1319" max="1319" width="7.5546875" style="11" customWidth="1"/>
    <col min="1320" max="1327" width="14.109375" style="11"/>
    <col min="1328" max="1328" width="15.6640625" style="11" customWidth="1"/>
    <col min="1329" max="1340" width="14.109375" style="11"/>
    <col min="1341" max="1341" width="0.109375" style="11" customWidth="1"/>
    <col min="1342" max="1348" width="12" style="11" customWidth="1"/>
    <col min="1349" max="1350" width="10.77734375" style="11" customWidth="1"/>
    <col min="1351" max="1536" width="14.109375" style="11"/>
    <col min="1537" max="1537" width="49.21875" style="11" customWidth="1"/>
    <col min="1538" max="1538" width="52.5546875" style="11" customWidth="1"/>
    <col min="1539" max="1545" width="12" style="11" customWidth="1"/>
    <col min="1546" max="1547" width="12.77734375" style="11" customWidth="1"/>
    <col min="1548" max="1559" width="12.44140625" style="11" customWidth="1"/>
    <col min="1560" max="1566" width="12.88671875" style="11" customWidth="1"/>
    <col min="1567" max="1569" width="13.88671875" style="11" customWidth="1"/>
    <col min="1570" max="1571" width="12" style="11" customWidth="1"/>
    <col min="1572" max="1574" width="13.33203125" style="11" customWidth="1"/>
    <col min="1575" max="1575" width="7.5546875" style="11" customWidth="1"/>
    <col min="1576" max="1583" width="14.109375" style="11"/>
    <col min="1584" max="1584" width="15.6640625" style="11" customWidth="1"/>
    <col min="1585" max="1596" width="14.109375" style="11"/>
    <col min="1597" max="1597" width="0.109375" style="11" customWidth="1"/>
    <col min="1598" max="1604" width="12" style="11" customWidth="1"/>
    <col min="1605" max="1606" width="10.77734375" style="11" customWidth="1"/>
    <col min="1607" max="1792" width="14.109375" style="11"/>
    <col min="1793" max="1793" width="49.21875" style="11" customWidth="1"/>
    <col min="1794" max="1794" width="52.5546875" style="11" customWidth="1"/>
    <col min="1795" max="1801" width="12" style="11" customWidth="1"/>
    <col min="1802" max="1803" width="12.77734375" style="11" customWidth="1"/>
    <col min="1804" max="1815" width="12.44140625" style="11" customWidth="1"/>
    <col min="1816" max="1822" width="12.88671875" style="11" customWidth="1"/>
    <col min="1823" max="1825" width="13.88671875" style="11" customWidth="1"/>
    <col min="1826" max="1827" width="12" style="11" customWidth="1"/>
    <col min="1828" max="1830" width="13.33203125" style="11" customWidth="1"/>
    <col min="1831" max="1831" width="7.5546875" style="11" customWidth="1"/>
    <col min="1832" max="1839" width="14.109375" style="11"/>
    <col min="1840" max="1840" width="15.6640625" style="11" customWidth="1"/>
    <col min="1841" max="1852" width="14.109375" style="11"/>
    <col min="1853" max="1853" width="0.109375" style="11" customWidth="1"/>
    <col min="1854" max="1860" width="12" style="11" customWidth="1"/>
    <col min="1861" max="1862" width="10.77734375" style="11" customWidth="1"/>
    <col min="1863" max="2048" width="14.109375" style="11"/>
    <col min="2049" max="2049" width="49.21875" style="11" customWidth="1"/>
    <col min="2050" max="2050" width="52.5546875" style="11" customWidth="1"/>
    <col min="2051" max="2057" width="12" style="11" customWidth="1"/>
    <col min="2058" max="2059" width="12.77734375" style="11" customWidth="1"/>
    <col min="2060" max="2071" width="12.44140625" style="11" customWidth="1"/>
    <col min="2072" max="2078" width="12.88671875" style="11" customWidth="1"/>
    <col min="2079" max="2081" width="13.88671875" style="11" customWidth="1"/>
    <col min="2082" max="2083" width="12" style="11" customWidth="1"/>
    <col min="2084" max="2086" width="13.33203125" style="11" customWidth="1"/>
    <col min="2087" max="2087" width="7.5546875" style="11" customWidth="1"/>
    <col min="2088" max="2095" width="14.109375" style="11"/>
    <col min="2096" max="2096" width="15.6640625" style="11" customWidth="1"/>
    <col min="2097" max="2108" width="14.109375" style="11"/>
    <col min="2109" max="2109" width="0.109375" style="11" customWidth="1"/>
    <col min="2110" max="2116" width="12" style="11" customWidth="1"/>
    <col min="2117" max="2118" width="10.77734375" style="11" customWidth="1"/>
    <col min="2119" max="2304" width="14.109375" style="11"/>
    <col min="2305" max="2305" width="49.21875" style="11" customWidth="1"/>
    <col min="2306" max="2306" width="52.5546875" style="11" customWidth="1"/>
    <col min="2307" max="2313" width="12" style="11" customWidth="1"/>
    <col min="2314" max="2315" width="12.77734375" style="11" customWidth="1"/>
    <col min="2316" max="2327" width="12.44140625" style="11" customWidth="1"/>
    <col min="2328" max="2334" width="12.88671875" style="11" customWidth="1"/>
    <col min="2335" max="2337" width="13.88671875" style="11" customWidth="1"/>
    <col min="2338" max="2339" width="12" style="11" customWidth="1"/>
    <col min="2340" max="2342" width="13.33203125" style="11" customWidth="1"/>
    <col min="2343" max="2343" width="7.5546875" style="11" customWidth="1"/>
    <col min="2344" max="2351" width="14.109375" style="11"/>
    <col min="2352" max="2352" width="15.6640625" style="11" customWidth="1"/>
    <col min="2353" max="2364" width="14.109375" style="11"/>
    <col min="2365" max="2365" width="0.109375" style="11" customWidth="1"/>
    <col min="2366" max="2372" width="12" style="11" customWidth="1"/>
    <col min="2373" max="2374" width="10.77734375" style="11" customWidth="1"/>
    <col min="2375" max="2560" width="14.109375" style="11"/>
    <col min="2561" max="2561" width="49.21875" style="11" customWidth="1"/>
    <col min="2562" max="2562" width="52.5546875" style="11" customWidth="1"/>
    <col min="2563" max="2569" width="12" style="11" customWidth="1"/>
    <col min="2570" max="2571" width="12.77734375" style="11" customWidth="1"/>
    <col min="2572" max="2583" width="12.44140625" style="11" customWidth="1"/>
    <col min="2584" max="2590" width="12.88671875" style="11" customWidth="1"/>
    <col min="2591" max="2593" width="13.88671875" style="11" customWidth="1"/>
    <col min="2594" max="2595" width="12" style="11" customWidth="1"/>
    <col min="2596" max="2598" width="13.33203125" style="11" customWidth="1"/>
    <col min="2599" max="2599" width="7.5546875" style="11" customWidth="1"/>
    <col min="2600" max="2607" width="14.109375" style="11"/>
    <col min="2608" max="2608" width="15.6640625" style="11" customWidth="1"/>
    <col min="2609" max="2620" width="14.109375" style="11"/>
    <col min="2621" max="2621" width="0.109375" style="11" customWidth="1"/>
    <col min="2622" max="2628" width="12" style="11" customWidth="1"/>
    <col min="2629" max="2630" width="10.77734375" style="11" customWidth="1"/>
    <col min="2631" max="2816" width="14.109375" style="11"/>
    <col min="2817" max="2817" width="49.21875" style="11" customWidth="1"/>
    <col min="2818" max="2818" width="52.5546875" style="11" customWidth="1"/>
    <col min="2819" max="2825" width="12" style="11" customWidth="1"/>
    <col min="2826" max="2827" width="12.77734375" style="11" customWidth="1"/>
    <col min="2828" max="2839" width="12.44140625" style="11" customWidth="1"/>
    <col min="2840" max="2846" width="12.88671875" style="11" customWidth="1"/>
    <col min="2847" max="2849" width="13.88671875" style="11" customWidth="1"/>
    <col min="2850" max="2851" width="12" style="11" customWidth="1"/>
    <col min="2852" max="2854" width="13.33203125" style="11" customWidth="1"/>
    <col min="2855" max="2855" width="7.5546875" style="11" customWidth="1"/>
    <col min="2856" max="2863" width="14.109375" style="11"/>
    <col min="2864" max="2864" width="15.6640625" style="11" customWidth="1"/>
    <col min="2865" max="2876" width="14.109375" style="11"/>
    <col min="2877" max="2877" width="0.109375" style="11" customWidth="1"/>
    <col min="2878" max="2884" width="12" style="11" customWidth="1"/>
    <col min="2885" max="2886" width="10.77734375" style="11" customWidth="1"/>
    <col min="2887" max="3072" width="14.109375" style="11"/>
    <col min="3073" max="3073" width="49.21875" style="11" customWidth="1"/>
    <col min="3074" max="3074" width="52.5546875" style="11" customWidth="1"/>
    <col min="3075" max="3081" width="12" style="11" customWidth="1"/>
    <col min="3082" max="3083" width="12.77734375" style="11" customWidth="1"/>
    <col min="3084" max="3095" width="12.44140625" style="11" customWidth="1"/>
    <col min="3096" max="3102" width="12.88671875" style="11" customWidth="1"/>
    <col min="3103" max="3105" width="13.88671875" style="11" customWidth="1"/>
    <col min="3106" max="3107" width="12" style="11" customWidth="1"/>
    <col min="3108" max="3110" width="13.33203125" style="11" customWidth="1"/>
    <col min="3111" max="3111" width="7.5546875" style="11" customWidth="1"/>
    <col min="3112" max="3119" width="14.109375" style="11"/>
    <col min="3120" max="3120" width="15.6640625" style="11" customWidth="1"/>
    <col min="3121" max="3132" width="14.109375" style="11"/>
    <col min="3133" max="3133" width="0.109375" style="11" customWidth="1"/>
    <col min="3134" max="3140" width="12" style="11" customWidth="1"/>
    <col min="3141" max="3142" width="10.77734375" style="11" customWidth="1"/>
    <col min="3143" max="3328" width="14.109375" style="11"/>
    <col min="3329" max="3329" width="49.21875" style="11" customWidth="1"/>
    <col min="3330" max="3330" width="52.5546875" style="11" customWidth="1"/>
    <col min="3331" max="3337" width="12" style="11" customWidth="1"/>
    <col min="3338" max="3339" width="12.77734375" style="11" customWidth="1"/>
    <col min="3340" max="3351" width="12.44140625" style="11" customWidth="1"/>
    <col min="3352" max="3358" width="12.88671875" style="11" customWidth="1"/>
    <col min="3359" max="3361" width="13.88671875" style="11" customWidth="1"/>
    <col min="3362" max="3363" width="12" style="11" customWidth="1"/>
    <col min="3364" max="3366" width="13.33203125" style="11" customWidth="1"/>
    <col min="3367" max="3367" width="7.5546875" style="11" customWidth="1"/>
    <col min="3368" max="3375" width="14.109375" style="11"/>
    <col min="3376" max="3376" width="15.6640625" style="11" customWidth="1"/>
    <col min="3377" max="3388" width="14.109375" style="11"/>
    <col min="3389" max="3389" width="0.109375" style="11" customWidth="1"/>
    <col min="3390" max="3396" width="12" style="11" customWidth="1"/>
    <col min="3397" max="3398" width="10.77734375" style="11" customWidth="1"/>
    <col min="3399" max="3584" width="14.109375" style="11"/>
    <col min="3585" max="3585" width="49.21875" style="11" customWidth="1"/>
    <col min="3586" max="3586" width="52.5546875" style="11" customWidth="1"/>
    <col min="3587" max="3593" width="12" style="11" customWidth="1"/>
    <col min="3594" max="3595" width="12.77734375" style="11" customWidth="1"/>
    <col min="3596" max="3607" width="12.44140625" style="11" customWidth="1"/>
    <col min="3608" max="3614" width="12.88671875" style="11" customWidth="1"/>
    <col min="3615" max="3617" width="13.88671875" style="11" customWidth="1"/>
    <col min="3618" max="3619" width="12" style="11" customWidth="1"/>
    <col min="3620" max="3622" width="13.33203125" style="11" customWidth="1"/>
    <col min="3623" max="3623" width="7.5546875" style="11" customWidth="1"/>
    <col min="3624" max="3631" width="14.109375" style="11"/>
    <col min="3632" max="3632" width="15.6640625" style="11" customWidth="1"/>
    <col min="3633" max="3644" width="14.109375" style="11"/>
    <col min="3645" max="3645" width="0.109375" style="11" customWidth="1"/>
    <col min="3646" max="3652" width="12" style="11" customWidth="1"/>
    <col min="3653" max="3654" width="10.77734375" style="11" customWidth="1"/>
    <col min="3655" max="3840" width="14.109375" style="11"/>
    <col min="3841" max="3841" width="49.21875" style="11" customWidth="1"/>
    <col min="3842" max="3842" width="52.5546875" style="11" customWidth="1"/>
    <col min="3843" max="3849" width="12" style="11" customWidth="1"/>
    <col min="3850" max="3851" width="12.77734375" style="11" customWidth="1"/>
    <col min="3852" max="3863" width="12.44140625" style="11" customWidth="1"/>
    <col min="3864" max="3870" width="12.88671875" style="11" customWidth="1"/>
    <col min="3871" max="3873" width="13.88671875" style="11" customWidth="1"/>
    <col min="3874" max="3875" width="12" style="11" customWidth="1"/>
    <col min="3876" max="3878" width="13.33203125" style="11" customWidth="1"/>
    <col min="3879" max="3879" width="7.5546875" style="11" customWidth="1"/>
    <col min="3880" max="3887" width="14.109375" style="11"/>
    <col min="3888" max="3888" width="15.6640625" style="11" customWidth="1"/>
    <col min="3889" max="3900" width="14.109375" style="11"/>
    <col min="3901" max="3901" width="0.109375" style="11" customWidth="1"/>
    <col min="3902" max="3908" width="12" style="11" customWidth="1"/>
    <col min="3909" max="3910" width="10.77734375" style="11" customWidth="1"/>
    <col min="3911" max="4096" width="14.109375" style="11"/>
    <col min="4097" max="4097" width="49.21875" style="11" customWidth="1"/>
    <col min="4098" max="4098" width="52.5546875" style="11" customWidth="1"/>
    <col min="4099" max="4105" width="12" style="11" customWidth="1"/>
    <col min="4106" max="4107" width="12.77734375" style="11" customWidth="1"/>
    <col min="4108" max="4119" width="12.44140625" style="11" customWidth="1"/>
    <col min="4120" max="4126" width="12.88671875" style="11" customWidth="1"/>
    <col min="4127" max="4129" width="13.88671875" style="11" customWidth="1"/>
    <col min="4130" max="4131" width="12" style="11" customWidth="1"/>
    <col min="4132" max="4134" width="13.33203125" style="11" customWidth="1"/>
    <col min="4135" max="4135" width="7.5546875" style="11" customWidth="1"/>
    <col min="4136" max="4143" width="14.109375" style="11"/>
    <col min="4144" max="4144" width="15.6640625" style="11" customWidth="1"/>
    <col min="4145" max="4156" width="14.109375" style="11"/>
    <col min="4157" max="4157" width="0.109375" style="11" customWidth="1"/>
    <col min="4158" max="4164" width="12" style="11" customWidth="1"/>
    <col min="4165" max="4166" width="10.77734375" style="11" customWidth="1"/>
    <col min="4167" max="4352" width="14.109375" style="11"/>
    <col min="4353" max="4353" width="49.21875" style="11" customWidth="1"/>
    <col min="4354" max="4354" width="52.5546875" style="11" customWidth="1"/>
    <col min="4355" max="4361" width="12" style="11" customWidth="1"/>
    <col min="4362" max="4363" width="12.77734375" style="11" customWidth="1"/>
    <col min="4364" max="4375" width="12.44140625" style="11" customWidth="1"/>
    <col min="4376" max="4382" width="12.88671875" style="11" customWidth="1"/>
    <col min="4383" max="4385" width="13.88671875" style="11" customWidth="1"/>
    <col min="4386" max="4387" width="12" style="11" customWidth="1"/>
    <col min="4388" max="4390" width="13.33203125" style="11" customWidth="1"/>
    <col min="4391" max="4391" width="7.5546875" style="11" customWidth="1"/>
    <col min="4392" max="4399" width="14.109375" style="11"/>
    <col min="4400" max="4400" width="15.6640625" style="11" customWidth="1"/>
    <col min="4401" max="4412" width="14.109375" style="11"/>
    <col min="4413" max="4413" width="0.109375" style="11" customWidth="1"/>
    <col min="4414" max="4420" width="12" style="11" customWidth="1"/>
    <col min="4421" max="4422" width="10.77734375" style="11" customWidth="1"/>
    <col min="4423" max="4608" width="14.109375" style="11"/>
    <col min="4609" max="4609" width="49.21875" style="11" customWidth="1"/>
    <col min="4610" max="4610" width="52.5546875" style="11" customWidth="1"/>
    <col min="4611" max="4617" width="12" style="11" customWidth="1"/>
    <col min="4618" max="4619" width="12.77734375" style="11" customWidth="1"/>
    <col min="4620" max="4631" width="12.44140625" style="11" customWidth="1"/>
    <col min="4632" max="4638" width="12.88671875" style="11" customWidth="1"/>
    <col min="4639" max="4641" width="13.88671875" style="11" customWidth="1"/>
    <col min="4642" max="4643" width="12" style="11" customWidth="1"/>
    <col min="4644" max="4646" width="13.33203125" style="11" customWidth="1"/>
    <col min="4647" max="4647" width="7.5546875" style="11" customWidth="1"/>
    <col min="4648" max="4655" width="14.109375" style="11"/>
    <col min="4656" max="4656" width="15.6640625" style="11" customWidth="1"/>
    <col min="4657" max="4668" width="14.109375" style="11"/>
    <col min="4669" max="4669" width="0.109375" style="11" customWidth="1"/>
    <col min="4670" max="4676" width="12" style="11" customWidth="1"/>
    <col min="4677" max="4678" width="10.77734375" style="11" customWidth="1"/>
    <col min="4679" max="4864" width="14.109375" style="11"/>
    <col min="4865" max="4865" width="49.21875" style="11" customWidth="1"/>
    <col min="4866" max="4866" width="52.5546875" style="11" customWidth="1"/>
    <col min="4867" max="4873" width="12" style="11" customWidth="1"/>
    <col min="4874" max="4875" width="12.77734375" style="11" customWidth="1"/>
    <col min="4876" max="4887" width="12.44140625" style="11" customWidth="1"/>
    <col min="4888" max="4894" width="12.88671875" style="11" customWidth="1"/>
    <col min="4895" max="4897" width="13.88671875" style="11" customWidth="1"/>
    <col min="4898" max="4899" width="12" style="11" customWidth="1"/>
    <col min="4900" max="4902" width="13.33203125" style="11" customWidth="1"/>
    <col min="4903" max="4903" width="7.5546875" style="11" customWidth="1"/>
    <col min="4904" max="4911" width="14.109375" style="11"/>
    <col min="4912" max="4912" width="15.6640625" style="11" customWidth="1"/>
    <col min="4913" max="4924" width="14.109375" style="11"/>
    <col min="4925" max="4925" width="0.109375" style="11" customWidth="1"/>
    <col min="4926" max="4932" width="12" style="11" customWidth="1"/>
    <col min="4933" max="4934" width="10.77734375" style="11" customWidth="1"/>
    <col min="4935" max="5120" width="14.109375" style="11"/>
    <col min="5121" max="5121" width="49.21875" style="11" customWidth="1"/>
    <col min="5122" max="5122" width="52.5546875" style="11" customWidth="1"/>
    <col min="5123" max="5129" width="12" style="11" customWidth="1"/>
    <col min="5130" max="5131" width="12.77734375" style="11" customWidth="1"/>
    <col min="5132" max="5143" width="12.44140625" style="11" customWidth="1"/>
    <col min="5144" max="5150" width="12.88671875" style="11" customWidth="1"/>
    <col min="5151" max="5153" width="13.88671875" style="11" customWidth="1"/>
    <col min="5154" max="5155" width="12" style="11" customWidth="1"/>
    <col min="5156" max="5158" width="13.33203125" style="11" customWidth="1"/>
    <col min="5159" max="5159" width="7.5546875" style="11" customWidth="1"/>
    <col min="5160" max="5167" width="14.109375" style="11"/>
    <col min="5168" max="5168" width="15.6640625" style="11" customWidth="1"/>
    <col min="5169" max="5180" width="14.109375" style="11"/>
    <col min="5181" max="5181" width="0.109375" style="11" customWidth="1"/>
    <col min="5182" max="5188" width="12" style="11" customWidth="1"/>
    <col min="5189" max="5190" width="10.77734375" style="11" customWidth="1"/>
    <col min="5191" max="5376" width="14.109375" style="11"/>
    <col min="5377" max="5377" width="49.21875" style="11" customWidth="1"/>
    <col min="5378" max="5378" width="52.5546875" style="11" customWidth="1"/>
    <col min="5379" max="5385" width="12" style="11" customWidth="1"/>
    <col min="5386" max="5387" width="12.77734375" style="11" customWidth="1"/>
    <col min="5388" max="5399" width="12.44140625" style="11" customWidth="1"/>
    <col min="5400" max="5406" width="12.88671875" style="11" customWidth="1"/>
    <col min="5407" max="5409" width="13.88671875" style="11" customWidth="1"/>
    <col min="5410" max="5411" width="12" style="11" customWidth="1"/>
    <col min="5412" max="5414" width="13.33203125" style="11" customWidth="1"/>
    <col min="5415" max="5415" width="7.5546875" style="11" customWidth="1"/>
    <col min="5416" max="5423" width="14.109375" style="11"/>
    <col min="5424" max="5424" width="15.6640625" style="11" customWidth="1"/>
    <col min="5425" max="5436" width="14.109375" style="11"/>
    <col min="5437" max="5437" width="0.109375" style="11" customWidth="1"/>
    <col min="5438" max="5444" width="12" style="11" customWidth="1"/>
    <col min="5445" max="5446" width="10.77734375" style="11" customWidth="1"/>
    <col min="5447" max="5632" width="14.109375" style="11"/>
    <col min="5633" max="5633" width="49.21875" style="11" customWidth="1"/>
    <col min="5634" max="5634" width="52.5546875" style="11" customWidth="1"/>
    <col min="5635" max="5641" width="12" style="11" customWidth="1"/>
    <col min="5642" max="5643" width="12.77734375" style="11" customWidth="1"/>
    <col min="5644" max="5655" width="12.44140625" style="11" customWidth="1"/>
    <col min="5656" max="5662" width="12.88671875" style="11" customWidth="1"/>
    <col min="5663" max="5665" width="13.88671875" style="11" customWidth="1"/>
    <col min="5666" max="5667" width="12" style="11" customWidth="1"/>
    <col min="5668" max="5670" width="13.33203125" style="11" customWidth="1"/>
    <col min="5671" max="5671" width="7.5546875" style="11" customWidth="1"/>
    <col min="5672" max="5679" width="14.109375" style="11"/>
    <col min="5680" max="5680" width="15.6640625" style="11" customWidth="1"/>
    <col min="5681" max="5692" width="14.109375" style="11"/>
    <col min="5693" max="5693" width="0.109375" style="11" customWidth="1"/>
    <col min="5694" max="5700" width="12" style="11" customWidth="1"/>
    <col min="5701" max="5702" width="10.77734375" style="11" customWidth="1"/>
    <col min="5703" max="5888" width="14.109375" style="11"/>
    <col min="5889" max="5889" width="49.21875" style="11" customWidth="1"/>
    <col min="5890" max="5890" width="52.5546875" style="11" customWidth="1"/>
    <col min="5891" max="5897" width="12" style="11" customWidth="1"/>
    <col min="5898" max="5899" width="12.77734375" style="11" customWidth="1"/>
    <col min="5900" max="5911" width="12.44140625" style="11" customWidth="1"/>
    <col min="5912" max="5918" width="12.88671875" style="11" customWidth="1"/>
    <col min="5919" max="5921" width="13.88671875" style="11" customWidth="1"/>
    <col min="5922" max="5923" width="12" style="11" customWidth="1"/>
    <col min="5924" max="5926" width="13.33203125" style="11" customWidth="1"/>
    <col min="5927" max="5927" width="7.5546875" style="11" customWidth="1"/>
    <col min="5928" max="5935" width="14.109375" style="11"/>
    <col min="5936" max="5936" width="15.6640625" style="11" customWidth="1"/>
    <col min="5937" max="5948" width="14.109375" style="11"/>
    <col min="5949" max="5949" width="0.109375" style="11" customWidth="1"/>
    <col min="5950" max="5956" width="12" style="11" customWidth="1"/>
    <col min="5957" max="5958" width="10.77734375" style="11" customWidth="1"/>
    <col min="5959" max="6144" width="14.109375" style="11"/>
    <col min="6145" max="6145" width="49.21875" style="11" customWidth="1"/>
    <col min="6146" max="6146" width="52.5546875" style="11" customWidth="1"/>
    <col min="6147" max="6153" width="12" style="11" customWidth="1"/>
    <col min="6154" max="6155" width="12.77734375" style="11" customWidth="1"/>
    <col min="6156" max="6167" width="12.44140625" style="11" customWidth="1"/>
    <col min="6168" max="6174" width="12.88671875" style="11" customWidth="1"/>
    <col min="6175" max="6177" width="13.88671875" style="11" customWidth="1"/>
    <col min="6178" max="6179" width="12" style="11" customWidth="1"/>
    <col min="6180" max="6182" width="13.33203125" style="11" customWidth="1"/>
    <col min="6183" max="6183" width="7.5546875" style="11" customWidth="1"/>
    <col min="6184" max="6191" width="14.109375" style="11"/>
    <col min="6192" max="6192" width="15.6640625" style="11" customWidth="1"/>
    <col min="6193" max="6204" width="14.109375" style="11"/>
    <col min="6205" max="6205" width="0.109375" style="11" customWidth="1"/>
    <col min="6206" max="6212" width="12" style="11" customWidth="1"/>
    <col min="6213" max="6214" width="10.77734375" style="11" customWidth="1"/>
    <col min="6215" max="6400" width="14.109375" style="11"/>
    <col min="6401" max="6401" width="49.21875" style="11" customWidth="1"/>
    <col min="6402" max="6402" width="52.5546875" style="11" customWidth="1"/>
    <col min="6403" max="6409" width="12" style="11" customWidth="1"/>
    <col min="6410" max="6411" width="12.77734375" style="11" customWidth="1"/>
    <col min="6412" max="6423" width="12.44140625" style="11" customWidth="1"/>
    <col min="6424" max="6430" width="12.88671875" style="11" customWidth="1"/>
    <col min="6431" max="6433" width="13.88671875" style="11" customWidth="1"/>
    <col min="6434" max="6435" width="12" style="11" customWidth="1"/>
    <col min="6436" max="6438" width="13.33203125" style="11" customWidth="1"/>
    <col min="6439" max="6439" width="7.5546875" style="11" customWidth="1"/>
    <col min="6440" max="6447" width="14.109375" style="11"/>
    <col min="6448" max="6448" width="15.6640625" style="11" customWidth="1"/>
    <col min="6449" max="6460" width="14.109375" style="11"/>
    <col min="6461" max="6461" width="0.109375" style="11" customWidth="1"/>
    <col min="6462" max="6468" width="12" style="11" customWidth="1"/>
    <col min="6469" max="6470" width="10.77734375" style="11" customWidth="1"/>
    <col min="6471" max="6656" width="14.109375" style="11"/>
    <col min="6657" max="6657" width="49.21875" style="11" customWidth="1"/>
    <col min="6658" max="6658" width="52.5546875" style="11" customWidth="1"/>
    <col min="6659" max="6665" width="12" style="11" customWidth="1"/>
    <col min="6666" max="6667" width="12.77734375" style="11" customWidth="1"/>
    <col min="6668" max="6679" width="12.44140625" style="11" customWidth="1"/>
    <col min="6680" max="6686" width="12.88671875" style="11" customWidth="1"/>
    <col min="6687" max="6689" width="13.88671875" style="11" customWidth="1"/>
    <col min="6690" max="6691" width="12" style="11" customWidth="1"/>
    <col min="6692" max="6694" width="13.33203125" style="11" customWidth="1"/>
    <col min="6695" max="6695" width="7.5546875" style="11" customWidth="1"/>
    <col min="6696" max="6703" width="14.109375" style="11"/>
    <col min="6704" max="6704" width="15.6640625" style="11" customWidth="1"/>
    <col min="6705" max="6716" width="14.109375" style="11"/>
    <col min="6717" max="6717" width="0.109375" style="11" customWidth="1"/>
    <col min="6718" max="6724" width="12" style="11" customWidth="1"/>
    <col min="6725" max="6726" width="10.77734375" style="11" customWidth="1"/>
    <col min="6727" max="6912" width="14.109375" style="11"/>
    <col min="6913" max="6913" width="49.21875" style="11" customWidth="1"/>
    <col min="6914" max="6914" width="52.5546875" style="11" customWidth="1"/>
    <col min="6915" max="6921" width="12" style="11" customWidth="1"/>
    <col min="6922" max="6923" width="12.77734375" style="11" customWidth="1"/>
    <col min="6924" max="6935" width="12.44140625" style="11" customWidth="1"/>
    <col min="6936" max="6942" width="12.88671875" style="11" customWidth="1"/>
    <col min="6943" max="6945" width="13.88671875" style="11" customWidth="1"/>
    <col min="6946" max="6947" width="12" style="11" customWidth="1"/>
    <col min="6948" max="6950" width="13.33203125" style="11" customWidth="1"/>
    <col min="6951" max="6951" width="7.5546875" style="11" customWidth="1"/>
    <col min="6952" max="6959" width="14.109375" style="11"/>
    <col min="6960" max="6960" width="15.6640625" style="11" customWidth="1"/>
    <col min="6961" max="6972" width="14.109375" style="11"/>
    <col min="6973" max="6973" width="0.109375" style="11" customWidth="1"/>
    <col min="6974" max="6980" width="12" style="11" customWidth="1"/>
    <col min="6981" max="6982" width="10.77734375" style="11" customWidth="1"/>
    <col min="6983" max="7168" width="14.109375" style="11"/>
    <col min="7169" max="7169" width="49.21875" style="11" customWidth="1"/>
    <col min="7170" max="7170" width="52.5546875" style="11" customWidth="1"/>
    <col min="7171" max="7177" width="12" style="11" customWidth="1"/>
    <col min="7178" max="7179" width="12.77734375" style="11" customWidth="1"/>
    <col min="7180" max="7191" width="12.44140625" style="11" customWidth="1"/>
    <col min="7192" max="7198" width="12.88671875" style="11" customWidth="1"/>
    <col min="7199" max="7201" width="13.88671875" style="11" customWidth="1"/>
    <col min="7202" max="7203" width="12" style="11" customWidth="1"/>
    <col min="7204" max="7206" width="13.33203125" style="11" customWidth="1"/>
    <col min="7207" max="7207" width="7.5546875" style="11" customWidth="1"/>
    <col min="7208" max="7215" width="14.109375" style="11"/>
    <col min="7216" max="7216" width="15.6640625" style="11" customWidth="1"/>
    <col min="7217" max="7228" width="14.109375" style="11"/>
    <col min="7229" max="7229" width="0.109375" style="11" customWidth="1"/>
    <col min="7230" max="7236" width="12" style="11" customWidth="1"/>
    <col min="7237" max="7238" width="10.77734375" style="11" customWidth="1"/>
    <col min="7239" max="7424" width="14.109375" style="11"/>
    <col min="7425" max="7425" width="49.21875" style="11" customWidth="1"/>
    <col min="7426" max="7426" width="52.5546875" style="11" customWidth="1"/>
    <col min="7427" max="7433" width="12" style="11" customWidth="1"/>
    <col min="7434" max="7435" width="12.77734375" style="11" customWidth="1"/>
    <col min="7436" max="7447" width="12.44140625" style="11" customWidth="1"/>
    <col min="7448" max="7454" width="12.88671875" style="11" customWidth="1"/>
    <col min="7455" max="7457" width="13.88671875" style="11" customWidth="1"/>
    <col min="7458" max="7459" width="12" style="11" customWidth="1"/>
    <col min="7460" max="7462" width="13.33203125" style="11" customWidth="1"/>
    <col min="7463" max="7463" width="7.5546875" style="11" customWidth="1"/>
    <col min="7464" max="7471" width="14.109375" style="11"/>
    <col min="7472" max="7472" width="15.6640625" style="11" customWidth="1"/>
    <col min="7473" max="7484" width="14.109375" style="11"/>
    <col min="7485" max="7485" width="0.109375" style="11" customWidth="1"/>
    <col min="7486" max="7492" width="12" style="11" customWidth="1"/>
    <col min="7493" max="7494" width="10.77734375" style="11" customWidth="1"/>
    <col min="7495" max="7680" width="14.109375" style="11"/>
    <col min="7681" max="7681" width="49.21875" style="11" customWidth="1"/>
    <col min="7682" max="7682" width="52.5546875" style="11" customWidth="1"/>
    <col min="7683" max="7689" width="12" style="11" customWidth="1"/>
    <col min="7690" max="7691" width="12.77734375" style="11" customWidth="1"/>
    <col min="7692" max="7703" width="12.44140625" style="11" customWidth="1"/>
    <col min="7704" max="7710" width="12.88671875" style="11" customWidth="1"/>
    <col min="7711" max="7713" width="13.88671875" style="11" customWidth="1"/>
    <col min="7714" max="7715" width="12" style="11" customWidth="1"/>
    <col min="7716" max="7718" width="13.33203125" style="11" customWidth="1"/>
    <col min="7719" max="7719" width="7.5546875" style="11" customWidth="1"/>
    <col min="7720" max="7727" width="14.109375" style="11"/>
    <col min="7728" max="7728" width="15.6640625" style="11" customWidth="1"/>
    <col min="7729" max="7740" width="14.109375" style="11"/>
    <col min="7741" max="7741" width="0.109375" style="11" customWidth="1"/>
    <col min="7742" max="7748" width="12" style="11" customWidth="1"/>
    <col min="7749" max="7750" width="10.77734375" style="11" customWidth="1"/>
    <col min="7751" max="7936" width="14.109375" style="11"/>
    <col min="7937" max="7937" width="49.21875" style="11" customWidth="1"/>
    <col min="7938" max="7938" width="52.5546875" style="11" customWidth="1"/>
    <col min="7939" max="7945" width="12" style="11" customWidth="1"/>
    <col min="7946" max="7947" width="12.77734375" style="11" customWidth="1"/>
    <col min="7948" max="7959" width="12.44140625" style="11" customWidth="1"/>
    <col min="7960" max="7966" width="12.88671875" style="11" customWidth="1"/>
    <col min="7967" max="7969" width="13.88671875" style="11" customWidth="1"/>
    <col min="7970" max="7971" width="12" style="11" customWidth="1"/>
    <col min="7972" max="7974" width="13.33203125" style="11" customWidth="1"/>
    <col min="7975" max="7975" width="7.5546875" style="11" customWidth="1"/>
    <col min="7976" max="7983" width="14.109375" style="11"/>
    <col min="7984" max="7984" width="15.6640625" style="11" customWidth="1"/>
    <col min="7985" max="7996" width="14.109375" style="11"/>
    <col min="7997" max="7997" width="0.109375" style="11" customWidth="1"/>
    <col min="7998" max="8004" width="12" style="11" customWidth="1"/>
    <col min="8005" max="8006" width="10.77734375" style="11" customWidth="1"/>
    <col min="8007" max="8192" width="14.109375" style="11"/>
    <col min="8193" max="8193" width="49.21875" style="11" customWidth="1"/>
    <col min="8194" max="8194" width="52.5546875" style="11" customWidth="1"/>
    <col min="8195" max="8201" width="12" style="11" customWidth="1"/>
    <col min="8202" max="8203" width="12.77734375" style="11" customWidth="1"/>
    <col min="8204" max="8215" width="12.44140625" style="11" customWidth="1"/>
    <col min="8216" max="8222" width="12.88671875" style="11" customWidth="1"/>
    <col min="8223" max="8225" width="13.88671875" style="11" customWidth="1"/>
    <col min="8226" max="8227" width="12" style="11" customWidth="1"/>
    <col min="8228" max="8230" width="13.33203125" style="11" customWidth="1"/>
    <col min="8231" max="8231" width="7.5546875" style="11" customWidth="1"/>
    <col min="8232" max="8239" width="14.109375" style="11"/>
    <col min="8240" max="8240" width="15.6640625" style="11" customWidth="1"/>
    <col min="8241" max="8252" width="14.109375" style="11"/>
    <col min="8253" max="8253" width="0.109375" style="11" customWidth="1"/>
    <col min="8254" max="8260" width="12" style="11" customWidth="1"/>
    <col min="8261" max="8262" width="10.77734375" style="11" customWidth="1"/>
    <col min="8263" max="8448" width="14.109375" style="11"/>
    <col min="8449" max="8449" width="49.21875" style="11" customWidth="1"/>
    <col min="8450" max="8450" width="52.5546875" style="11" customWidth="1"/>
    <col min="8451" max="8457" width="12" style="11" customWidth="1"/>
    <col min="8458" max="8459" width="12.77734375" style="11" customWidth="1"/>
    <col min="8460" max="8471" width="12.44140625" style="11" customWidth="1"/>
    <col min="8472" max="8478" width="12.88671875" style="11" customWidth="1"/>
    <col min="8479" max="8481" width="13.88671875" style="11" customWidth="1"/>
    <col min="8482" max="8483" width="12" style="11" customWidth="1"/>
    <col min="8484" max="8486" width="13.33203125" style="11" customWidth="1"/>
    <col min="8487" max="8487" width="7.5546875" style="11" customWidth="1"/>
    <col min="8488" max="8495" width="14.109375" style="11"/>
    <col min="8496" max="8496" width="15.6640625" style="11" customWidth="1"/>
    <col min="8497" max="8508" width="14.109375" style="11"/>
    <col min="8509" max="8509" width="0.109375" style="11" customWidth="1"/>
    <col min="8510" max="8516" width="12" style="11" customWidth="1"/>
    <col min="8517" max="8518" width="10.77734375" style="11" customWidth="1"/>
    <col min="8519" max="8704" width="14.109375" style="11"/>
    <col min="8705" max="8705" width="49.21875" style="11" customWidth="1"/>
    <col min="8706" max="8706" width="52.5546875" style="11" customWidth="1"/>
    <col min="8707" max="8713" width="12" style="11" customWidth="1"/>
    <col min="8714" max="8715" width="12.77734375" style="11" customWidth="1"/>
    <col min="8716" max="8727" width="12.44140625" style="11" customWidth="1"/>
    <col min="8728" max="8734" width="12.88671875" style="11" customWidth="1"/>
    <col min="8735" max="8737" width="13.88671875" style="11" customWidth="1"/>
    <col min="8738" max="8739" width="12" style="11" customWidth="1"/>
    <col min="8740" max="8742" width="13.33203125" style="11" customWidth="1"/>
    <col min="8743" max="8743" width="7.5546875" style="11" customWidth="1"/>
    <col min="8744" max="8751" width="14.109375" style="11"/>
    <col min="8752" max="8752" width="15.6640625" style="11" customWidth="1"/>
    <col min="8753" max="8764" width="14.109375" style="11"/>
    <col min="8765" max="8765" width="0.109375" style="11" customWidth="1"/>
    <col min="8766" max="8772" width="12" style="11" customWidth="1"/>
    <col min="8773" max="8774" width="10.77734375" style="11" customWidth="1"/>
    <col min="8775" max="8960" width="14.109375" style="11"/>
    <col min="8961" max="8961" width="49.21875" style="11" customWidth="1"/>
    <col min="8962" max="8962" width="52.5546875" style="11" customWidth="1"/>
    <col min="8963" max="8969" width="12" style="11" customWidth="1"/>
    <col min="8970" max="8971" width="12.77734375" style="11" customWidth="1"/>
    <col min="8972" max="8983" width="12.44140625" style="11" customWidth="1"/>
    <col min="8984" max="8990" width="12.88671875" style="11" customWidth="1"/>
    <col min="8991" max="8993" width="13.88671875" style="11" customWidth="1"/>
    <col min="8994" max="8995" width="12" style="11" customWidth="1"/>
    <col min="8996" max="8998" width="13.33203125" style="11" customWidth="1"/>
    <col min="8999" max="8999" width="7.5546875" style="11" customWidth="1"/>
    <col min="9000" max="9007" width="14.109375" style="11"/>
    <col min="9008" max="9008" width="15.6640625" style="11" customWidth="1"/>
    <col min="9009" max="9020" width="14.109375" style="11"/>
    <col min="9021" max="9021" width="0.109375" style="11" customWidth="1"/>
    <col min="9022" max="9028" width="12" style="11" customWidth="1"/>
    <col min="9029" max="9030" width="10.77734375" style="11" customWidth="1"/>
    <col min="9031" max="9216" width="14.109375" style="11"/>
    <col min="9217" max="9217" width="49.21875" style="11" customWidth="1"/>
    <col min="9218" max="9218" width="52.5546875" style="11" customWidth="1"/>
    <col min="9219" max="9225" width="12" style="11" customWidth="1"/>
    <col min="9226" max="9227" width="12.77734375" style="11" customWidth="1"/>
    <col min="9228" max="9239" width="12.44140625" style="11" customWidth="1"/>
    <col min="9240" max="9246" width="12.88671875" style="11" customWidth="1"/>
    <col min="9247" max="9249" width="13.88671875" style="11" customWidth="1"/>
    <col min="9250" max="9251" width="12" style="11" customWidth="1"/>
    <col min="9252" max="9254" width="13.33203125" style="11" customWidth="1"/>
    <col min="9255" max="9255" width="7.5546875" style="11" customWidth="1"/>
    <col min="9256" max="9263" width="14.109375" style="11"/>
    <col min="9264" max="9264" width="15.6640625" style="11" customWidth="1"/>
    <col min="9265" max="9276" width="14.109375" style="11"/>
    <col min="9277" max="9277" width="0.109375" style="11" customWidth="1"/>
    <col min="9278" max="9284" width="12" style="11" customWidth="1"/>
    <col min="9285" max="9286" width="10.77734375" style="11" customWidth="1"/>
    <col min="9287" max="9472" width="14.109375" style="11"/>
    <col min="9473" max="9473" width="49.21875" style="11" customWidth="1"/>
    <col min="9474" max="9474" width="52.5546875" style="11" customWidth="1"/>
    <col min="9475" max="9481" width="12" style="11" customWidth="1"/>
    <col min="9482" max="9483" width="12.77734375" style="11" customWidth="1"/>
    <col min="9484" max="9495" width="12.44140625" style="11" customWidth="1"/>
    <col min="9496" max="9502" width="12.88671875" style="11" customWidth="1"/>
    <col min="9503" max="9505" width="13.88671875" style="11" customWidth="1"/>
    <col min="9506" max="9507" width="12" style="11" customWidth="1"/>
    <col min="9508" max="9510" width="13.33203125" style="11" customWidth="1"/>
    <col min="9511" max="9511" width="7.5546875" style="11" customWidth="1"/>
    <col min="9512" max="9519" width="14.109375" style="11"/>
    <col min="9520" max="9520" width="15.6640625" style="11" customWidth="1"/>
    <col min="9521" max="9532" width="14.109375" style="11"/>
    <col min="9533" max="9533" width="0.109375" style="11" customWidth="1"/>
    <col min="9534" max="9540" width="12" style="11" customWidth="1"/>
    <col min="9541" max="9542" width="10.77734375" style="11" customWidth="1"/>
    <col min="9543" max="9728" width="14.109375" style="11"/>
    <col min="9729" max="9729" width="49.21875" style="11" customWidth="1"/>
    <col min="9730" max="9730" width="52.5546875" style="11" customWidth="1"/>
    <col min="9731" max="9737" width="12" style="11" customWidth="1"/>
    <col min="9738" max="9739" width="12.77734375" style="11" customWidth="1"/>
    <col min="9740" max="9751" width="12.44140625" style="11" customWidth="1"/>
    <col min="9752" max="9758" width="12.88671875" style="11" customWidth="1"/>
    <col min="9759" max="9761" width="13.88671875" style="11" customWidth="1"/>
    <col min="9762" max="9763" width="12" style="11" customWidth="1"/>
    <col min="9764" max="9766" width="13.33203125" style="11" customWidth="1"/>
    <col min="9767" max="9767" width="7.5546875" style="11" customWidth="1"/>
    <col min="9768" max="9775" width="14.109375" style="11"/>
    <col min="9776" max="9776" width="15.6640625" style="11" customWidth="1"/>
    <col min="9777" max="9788" width="14.109375" style="11"/>
    <col min="9789" max="9789" width="0.109375" style="11" customWidth="1"/>
    <col min="9790" max="9796" width="12" style="11" customWidth="1"/>
    <col min="9797" max="9798" width="10.77734375" style="11" customWidth="1"/>
    <col min="9799" max="9984" width="14.109375" style="11"/>
    <col min="9985" max="9985" width="49.21875" style="11" customWidth="1"/>
    <col min="9986" max="9986" width="52.5546875" style="11" customWidth="1"/>
    <col min="9987" max="9993" width="12" style="11" customWidth="1"/>
    <col min="9994" max="9995" width="12.77734375" style="11" customWidth="1"/>
    <col min="9996" max="10007" width="12.44140625" style="11" customWidth="1"/>
    <col min="10008" max="10014" width="12.88671875" style="11" customWidth="1"/>
    <col min="10015" max="10017" width="13.88671875" style="11" customWidth="1"/>
    <col min="10018" max="10019" width="12" style="11" customWidth="1"/>
    <col min="10020" max="10022" width="13.33203125" style="11" customWidth="1"/>
    <col min="10023" max="10023" width="7.5546875" style="11" customWidth="1"/>
    <col min="10024" max="10031" width="14.109375" style="11"/>
    <col min="10032" max="10032" width="15.6640625" style="11" customWidth="1"/>
    <col min="10033" max="10044" width="14.109375" style="11"/>
    <col min="10045" max="10045" width="0.109375" style="11" customWidth="1"/>
    <col min="10046" max="10052" width="12" style="11" customWidth="1"/>
    <col min="10053" max="10054" width="10.77734375" style="11" customWidth="1"/>
    <col min="10055" max="10240" width="14.109375" style="11"/>
    <col min="10241" max="10241" width="49.21875" style="11" customWidth="1"/>
    <col min="10242" max="10242" width="52.5546875" style="11" customWidth="1"/>
    <col min="10243" max="10249" width="12" style="11" customWidth="1"/>
    <col min="10250" max="10251" width="12.77734375" style="11" customWidth="1"/>
    <col min="10252" max="10263" width="12.44140625" style="11" customWidth="1"/>
    <col min="10264" max="10270" width="12.88671875" style="11" customWidth="1"/>
    <col min="10271" max="10273" width="13.88671875" style="11" customWidth="1"/>
    <col min="10274" max="10275" width="12" style="11" customWidth="1"/>
    <col min="10276" max="10278" width="13.33203125" style="11" customWidth="1"/>
    <col min="10279" max="10279" width="7.5546875" style="11" customWidth="1"/>
    <col min="10280" max="10287" width="14.109375" style="11"/>
    <col min="10288" max="10288" width="15.6640625" style="11" customWidth="1"/>
    <col min="10289" max="10300" width="14.109375" style="11"/>
    <col min="10301" max="10301" width="0.109375" style="11" customWidth="1"/>
    <col min="10302" max="10308" width="12" style="11" customWidth="1"/>
    <col min="10309" max="10310" width="10.77734375" style="11" customWidth="1"/>
    <col min="10311" max="10496" width="14.109375" style="11"/>
    <col min="10497" max="10497" width="49.21875" style="11" customWidth="1"/>
    <col min="10498" max="10498" width="52.5546875" style="11" customWidth="1"/>
    <col min="10499" max="10505" width="12" style="11" customWidth="1"/>
    <col min="10506" max="10507" width="12.77734375" style="11" customWidth="1"/>
    <col min="10508" max="10519" width="12.44140625" style="11" customWidth="1"/>
    <col min="10520" max="10526" width="12.88671875" style="11" customWidth="1"/>
    <col min="10527" max="10529" width="13.88671875" style="11" customWidth="1"/>
    <col min="10530" max="10531" width="12" style="11" customWidth="1"/>
    <col min="10532" max="10534" width="13.33203125" style="11" customWidth="1"/>
    <col min="10535" max="10535" width="7.5546875" style="11" customWidth="1"/>
    <col min="10536" max="10543" width="14.109375" style="11"/>
    <col min="10544" max="10544" width="15.6640625" style="11" customWidth="1"/>
    <col min="10545" max="10556" width="14.109375" style="11"/>
    <col min="10557" max="10557" width="0.109375" style="11" customWidth="1"/>
    <col min="10558" max="10564" width="12" style="11" customWidth="1"/>
    <col min="10565" max="10566" width="10.77734375" style="11" customWidth="1"/>
    <col min="10567" max="10752" width="14.109375" style="11"/>
    <col min="10753" max="10753" width="49.21875" style="11" customWidth="1"/>
    <col min="10754" max="10754" width="52.5546875" style="11" customWidth="1"/>
    <col min="10755" max="10761" width="12" style="11" customWidth="1"/>
    <col min="10762" max="10763" width="12.77734375" style="11" customWidth="1"/>
    <col min="10764" max="10775" width="12.44140625" style="11" customWidth="1"/>
    <col min="10776" max="10782" width="12.88671875" style="11" customWidth="1"/>
    <col min="10783" max="10785" width="13.88671875" style="11" customWidth="1"/>
    <col min="10786" max="10787" width="12" style="11" customWidth="1"/>
    <col min="10788" max="10790" width="13.33203125" style="11" customWidth="1"/>
    <col min="10791" max="10791" width="7.5546875" style="11" customWidth="1"/>
    <col min="10792" max="10799" width="14.109375" style="11"/>
    <col min="10800" max="10800" width="15.6640625" style="11" customWidth="1"/>
    <col min="10801" max="10812" width="14.109375" style="11"/>
    <col min="10813" max="10813" width="0.109375" style="11" customWidth="1"/>
    <col min="10814" max="10820" width="12" style="11" customWidth="1"/>
    <col min="10821" max="10822" width="10.77734375" style="11" customWidth="1"/>
    <col min="10823" max="11008" width="14.109375" style="11"/>
    <col min="11009" max="11009" width="49.21875" style="11" customWidth="1"/>
    <col min="11010" max="11010" width="52.5546875" style="11" customWidth="1"/>
    <col min="11011" max="11017" width="12" style="11" customWidth="1"/>
    <col min="11018" max="11019" width="12.77734375" style="11" customWidth="1"/>
    <col min="11020" max="11031" width="12.44140625" style="11" customWidth="1"/>
    <col min="11032" max="11038" width="12.88671875" style="11" customWidth="1"/>
    <col min="11039" max="11041" width="13.88671875" style="11" customWidth="1"/>
    <col min="11042" max="11043" width="12" style="11" customWidth="1"/>
    <col min="11044" max="11046" width="13.33203125" style="11" customWidth="1"/>
    <col min="11047" max="11047" width="7.5546875" style="11" customWidth="1"/>
    <col min="11048" max="11055" width="14.109375" style="11"/>
    <col min="11056" max="11056" width="15.6640625" style="11" customWidth="1"/>
    <col min="11057" max="11068" width="14.109375" style="11"/>
    <col min="11069" max="11069" width="0.109375" style="11" customWidth="1"/>
    <col min="11070" max="11076" width="12" style="11" customWidth="1"/>
    <col min="11077" max="11078" width="10.77734375" style="11" customWidth="1"/>
    <col min="11079" max="11264" width="14.109375" style="11"/>
    <col min="11265" max="11265" width="49.21875" style="11" customWidth="1"/>
    <col min="11266" max="11266" width="52.5546875" style="11" customWidth="1"/>
    <col min="11267" max="11273" width="12" style="11" customWidth="1"/>
    <col min="11274" max="11275" width="12.77734375" style="11" customWidth="1"/>
    <col min="11276" max="11287" width="12.44140625" style="11" customWidth="1"/>
    <col min="11288" max="11294" width="12.88671875" style="11" customWidth="1"/>
    <col min="11295" max="11297" width="13.88671875" style="11" customWidth="1"/>
    <col min="11298" max="11299" width="12" style="11" customWidth="1"/>
    <col min="11300" max="11302" width="13.33203125" style="11" customWidth="1"/>
    <col min="11303" max="11303" width="7.5546875" style="11" customWidth="1"/>
    <col min="11304" max="11311" width="14.109375" style="11"/>
    <col min="11312" max="11312" width="15.6640625" style="11" customWidth="1"/>
    <col min="11313" max="11324" width="14.109375" style="11"/>
    <col min="11325" max="11325" width="0.109375" style="11" customWidth="1"/>
    <col min="11326" max="11332" width="12" style="11" customWidth="1"/>
    <col min="11333" max="11334" width="10.77734375" style="11" customWidth="1"/>
    <col min="11335" max="11520" width="14.109375" style="11"/>
    <col min="11521" max="11521" width="49.21875" style="11" customWidth="1"/>
    <col min="11522" max="11522" width="52.5546875" style="11" customWidth="1"/>
    <col min="11523" max="11529" width="12" style="11" customWidth="1"/>
    <col min="11530" max="11531" width="12.77734375" style="11" customWidth="1"/>
    <col min="11532" max="11543" width="12.44140625" style="11" customWidth="1"/>
    <col min="11544" max="11550" width="12.88671875" style="11" customWidth="1"/>
    <col min="11551" max="11553" width="13.88671875" style="11" customWidth="1"/>
    <col min="11554" max="11555" width="12" style="11" customWidth="1"/>
    <col min="11556" max="11558" width="13.33203125" style="11" customWidth="1"/>
    <col min="11559" max="11559" width="7.5546875" style="11" customWidth="1"/>
    <col min="11560" max="11567" width="14.109375" style="11"/>
    <col min="11568" max="11568" width="15.6640625" style="11" customWidth="1"/>
    <col min="11569" max="11580" width="14.109375" style="11"/>
    <col min="11581" max="11581" width="0.109375" style="11" customWidth="1"/>
    <col min="11582" max="11588" width="12" style="11" customWidth="1"/>
    <col min="11589" max="11590" width="10.77734375" style="11" customWidth="1"/>
    <col min="11591" max="11776" width="14.109375" style="11"/>
    <col min="11777" max="11777" width="49.21875" style="11" customWidth="1"/>
    <col min="11778" max="11778" width="52.5546875" style="11" customWidth="1"/>
    <col min="11779" max="11785" width="12" style="11" customWidth="1"/>
    <col min="11786" max="11787" width="12.77734375" style="11" customWidth="1"/>
    <col min="11788" max="11799" width="12.44140625" style="11" customWidth="1"/>
    <col min="11800" max="11806" width="12.88671875" style="11" customWidth="1"/>
    <col min="11807" max="11809" width="13.88671875" style="11" customWidth="1"/>
    <col min="11810" max="11811" width="12" style="11" customWidth="1"/>
    <col min="11812" max="11814" width="13.33203125" style="11" customWidth="1"/>
    <col min="11815" max="11815" width="7.5546875" style="11" customWidth="1"/>
    <col min="11816" max="11823" width="14.109375" style="11"/>
    <col min="11824" max="11824" width="15.6640625" style="11" customWidth="1"/>
    <col min="11825" max="11836" width="14.109375" style="11"/>
    <col min="11837" max="11837" width="0.109375" style="11" customWidth="1"/>
    <col min="11838" max="11844" width="12" style="11" customWidth="1"/>
    <col min="11845" max="11846" width="10.77734375" style="11" customWidth="1"/>
    <col min="11847" max="12032" width="14.109375" style="11"/>
    <col min="12033" max="12033" width="49.21875" style="11" customWidth="1"/>
    <col min="12034" max="12034" width="52.5546875" style="11" customWidth="1"/>
    <col min="12035" max="12041" width="12" style="11" customWidth="1"/>
    <col min="12042" max="12043" width="12.77734375" style="11" customWidth="1"/>
    <col min="12044" max="12055" width="12.44140625" style="11" customWidth="1"/>
    <col min="12056" max="12062" width="12.88671875" style="11" customWidth="1"/>
    <col min="12063" max="12065" width="13.88671875" style="11" customWidth="1"/>
    <col min="12066" max="12067" width="12" style="11" customWidth="1"/>
    <col min="12068" max="12070" width="13.33203125" style="11" customWidth="1"/>
    <col min="12071" max="12071" width="7.5546875" style="11" customWidth="1"/>
    <col min="12072" max="12079" width="14.109375" style="11"/>
    <col min="12080" max="12080" width="15.6640625" style="11" customWidth="1"/>
    <col min="12081" max="12092" width="14.109375" style="11"/>
    <col min="12093" max="12093" width="0.109375" style="11" customWidth="1"/>
    <col min="12094" max="12100" width="12" style="11" customWidth="1"/>
    <col min="12101" max="12102" width="10.77734375" style="11" customWidth="1"/>
    <col min="12103" max="12288" width="14.109375" style="11"/>
    <col min="12289" max="12289" width="49.21875" style="11" customWidth="1"/>
    <col min="12290" max="12290" width="52.5546875" style="11" customWidth="1"/>
    <col min="12291" max="12297" width="12" style="11" customWidth="1"/>
    <col min="12298" max="12299" width="12.77734375" style="11" customWidth="1"/>
    <col min="12300" max="12311" width="12.44140625" style="11" customWidth="1"/>
    <col min="12312" max="12318" width="12.88671875" style="11" customWidth="1"/>
    <col min="12319" max="12321" width="13.88671875" style="11" customWidth="1"/>
    <col min="12322" max="12323" width="12" style="11" customWidth="1"/>
    <col min="12324" max="12326" width="13.33203125" style="11" customWidth="1"/>
    <col min="12327" max="12327" width="7.5546875" style="11" customWidth="1"/>
    <col min="12328" max="12335" width="14.109375" style="11"/>
    <col min="12336" max="12336" width="15.6640625" style="11" customWidth="1"/>
    <col min="12337" max="12348" width="14.109375" style="11"/>
    <col min="12349" max="12349" width="0.109375" style="11" customWidth="1"/>
    <col min="12350" max="12356" width="12" style="11" customWidth="1"/>
    <col min="12357" max="12358" width="10.77734375" style="11" customWidth="1"/>
    <col min="12359" max="12544" width="14.109375" style="11"/>
    <col min="12545" max="12545" width="49.21875" style="11" customWidth="1"/>
    <col min="12546" max="12546" width="52.5546875" style="11" customWidth="1"/>
    <col min="12547" max="12553" width="12" style="11" customWidth="1"/>
    <col min="12554" max="12555" width="12.77734375" style="11" customWidth="1"/>
    <col min="12556" max="12567" width="12.44140625" style="11" customWidth="1"/>
    <col min="12568" max="12574" width="12.88671875" style="11" customWidth="1"/>
    <col min="12575" max="12577" width="13.88671875" style="11" customWidth="1"/>
    <col min="12578" max="12579" width="12" style="11" customWidth="1"/>
    <col min="12580" max="12582" width="13.33203125" style="11" customWidth="1"/>
    <col min="12583" max="12583" width="7.5546875" style="11" customWidth="1"/>
    <col min="12584" max="12591" width="14.109375" style="11"/>
    <col min="12592" max="12592" width="15.6640625" style="11" customWidth="1"/>
    <col min="12593" max="12604" width="14.109375" style="11"/>
    <col min="12605" max="12605" width="0.109375" style="11" customWidth="1"/>
    <col min="12606" max="12612" width="12" style="11" customWidth="1"/>
    <col min="12613" max="12614" width="10.77734375" style="11" customWidth="1"/>
    <col min="12615" max="12800" width="14.109375" style="11"/>
    <col min="12801" max="12801" width="49.21875" style="11" customWidth="1"/>
    <col min="12802" max="12802" width="52.5546875" style="11" customWidth="1"/>
    <col min="12803" max="12809" width="12" style="11" customWidth="1"/>
    <col min="12810" max="12811" width="12.77734375" style="11" customWidth="1"/>
    <col min="12812" max="12823" width="12.44140625" style="11" customWidth="1"/>
    <col min="12824" max="12830" width="12.88671875" style="11" customWidth="1"/>
    <col min="12831" max="12833" width="13.88671875" style="11" customWidth="1"/>
    <col min="12834" max="12835" width="12" style="11" customWidth="1"/>
    <col min="12836" max="12838" width="13.33203125" style="11" customWidth="1"/>
    <col min="12839" max="12839" width="7.5546875" style="11" customWidth="1"/>
    <col min="12840" max="12847" width="14.109375" style="11"/>
    <col min="12848" max="12848" width="15.6640625" style="11" customWidth="1"/>
    <col min="12849" max="12860" width="14.109375" style="11"/>
    <col min="12861" max="12861" width="0.109375" style="11" customWidth="1"/>
    <col min="12862" max="12868" width="12" style="11" customWidth="1"/>
    <col min="12869" max="12870" width="10.77734375" style="11" customWidth="1"/>
    <col min="12871" max="13056" width="14.109375" style="11"/>
    <col min="13057" max="13057" width="49.21875" style="11" customWidth="1"/>
    <col min="13058" max="13058" width="52.5546875" style="11" customWidth="1"/>
    <col min="13059" max="13065" width="12" style="11" customWidth="1"/>
    <col min="13066" max="13067" width="12.77734375" style="11" customWidth="1"/>
    <col min="13068" max="13079" width="12.44140625" style="11" customWidth="1"/>
    <col min="13080" max="13086" width="12.88671875" style="11" customWidth="1"/>
    <col min="13087" max="13089" width="13.88671875" style="11" customWidth="1"/>
    <col min="13090" max="13091" width="12" style="11" customWidth="1"/>
    <col min="13092" max="13094" width="13.33203125" style="11" customWidth="1"/>
    <col min="13095" max="13095" width="7.5546875" style="11" customWidth="1"/>
    <col min="13096" max="13103" width="14.109375" style="11"/>
    <col min="13104" max="13104" width="15.6640625" style="11" customWidth="1"/>
    <col min="13105" max="13116" width="14.109375" style="11"/>
    <col min="13117" max="13117" width="0.109375" style="11" customWidth="1"/>
    <col min="13118" max="13124" width="12" style="11" customWidth="1"/>
    <col min="13125" max="13126" width="10.77734375" style="11" customWidth="1"/>
    <col min="13127" max="13312" width="14.109375" style="11"/>
    <col min="13313" max="13313" width="49.21875" style="11" customWidth="1"/>
    <col min="13314" max="13314" width="52.5546875" style="11" customWidth="1"/>
    <col min="13315" max="13321" width="12" style="11" customWidth="1"/>
    <col min="13322" max="13323" width="12.77734375" style="11" customWidth="1"/>
    <col min="13324" max="13335" width="12.44140625" style="11" customWidth="1"/>
    <col min="13336" max="13342" width="12.88671875" style="11" customWidth="1"/>
    <col min="13343" max="13345" width="13.88671875" style="11" customWidth="1"/>
    <col min="13346" max="13347" width="12" style="11" customWidth="1"/>
    <col min="13348" max="13350" width="13.33203125" style="11" customWidth="1"/>
    <col min="13351" max="13351" width="7.5546875" style="11" customWidth="1"/>
    <col min="13352" max="13359" width="14.109375" style="11"/>
    <col min="13360" max="13360" width="15.6640625" style="11" customWidth="1"/>
    <col min="13361" max="13372" width="14.109375" style="11"/>
    <col min="13373" max="13373" width="0.109375" style="11" customWidth="1"/>
    <col min="13374" max="13380" width="12" style="11" customWidth="1"/>
    <col min="13381" max="13382" width="10.77734375" style="11" customWidth="1"/>
    <col min="13383" max="13568" width="14.109375" style="11"/>
    <col min="13569" max="13569" width="49.21875" style="11" customWidth="1"/>
    <col min="13570" max="13570" width="52.5546875" style="11" customWidth="1"/>
    <col min="13571" max="13577" width="12" style="11" customWidth="1"/>
    <col min="13578" max="13579" width="12.77734375" style="11" customWidth="1"/>
    <col min="13580" max="13591" width="12.44140625" style="11" customWidth="1"/>
    <col min="13592" max="13598" width="12.88671875" style="11" customWidth="1"/>
    <col min="13599" max="13601" width="13.88671875" style="11" customWidth="1"/>
    <col min="13602" max="13603" width="12" style="11" customWidth="1"/>
    <col min="13604" max="13606" width="13.33203125" style="11" customWidth="1"/>
    <col min="13607" max="13607" width="7.5546875" style="11" customWidth="1"/>
    <col min="13608" max="13615" width="14.109375" style="11"/>
    <col min="13616" max="13616" width="15.6640625" style="11" customWidth="1"/>
    <col min="13617" max="13628" width="14.109375" style="11"/>
    <col min="13629" max="13629" width="0.109375" style="11" customWidth="1"/>
    <col min="13630" max="13636" width="12" style="11" customWidth="1"/>
    <col min="13637" max="13638" width="10.77734375" style="11" customWidth="1"/>
    <col min="13639" max="13824" width="14.109375" style="11"/>
    <col min="13825" max="13825" width="49.21875" style="11" customWidth="1"/>
    <col min="13826" max="13826" width="52.5546875" style="11" customWidth="1"/>
    <col min="13827" max="13833" width="12" style="11" customWidth="1"/>
    <col min="13834" max="13835" width="12.77734375" style="11" customWidth="1"/>
    <col min="13836" max="13847" width="12.44140625" style="11" customWidth="1"/>
    <col min="13848" max="13854" width="12.88671875" style="11" customWidth="1"/>
    <col min="13855" max="13857" width="13.88671875" style="11" customWidth="1"/>
    <col min="13858" max="13859" width="12" style="11" customWidth="1"/>
    <col min="13860" max="13862" width="13.33203125" style="11" customWidth="1"/>
    <col min="13863" max="13863" width="7.5546875" style="11" customWidth="1"/>
    <col min="13864" max="13871" width="14.109375" style="11"/>
    <col min="13872" max="13872" width="15.6640625" style="11" customWidth="1"/>
    <col min="13873" max="13884" width="14.109375" style="11"/>
    <col min="13885" max="13885" width="0.109375" style="11" customWidth="1"/>
    <col min="13886" max="13892" width="12" style="11" customWidth="1"/>
    <col min="13893" max="13894" width="10.77734375" style="11" customWidth="1"/>
    <col min="13895" max="14080" width="14.109375" style="11"/>
    <col min="14081" max="14081" width="49.21875" style="11" customWidth="1"/>
    <col min="14082" max="14082" width="52.5546875" style="11" customWidth="1"/>
    <col min="14083" max="14089" width="12" style="11" customWidth="1"/>
    <col min="14090" max="14091" width="12.77734375" style="11" customWidth="1"/>
    <col min="14092" max="14103" width="12.44140625" style="11" customWidth="1"/>
    <col min="14104" max="14110" width="12.88671875" style="11" customWidth="1"/>
    <col min="14111" max="14113" width="13.88671875" style="11" customWidth="1"/>
    <col min="14114" max="14115" width="12" style="11" customWidth="1"/>
    <col min="14116" max="14118" width="13.33203125" style="11" customWidth="1"/>
    <col min="14119" max="14119" width="7.5546875" style="11" customWidth="1"/>
    <col min="14120" max="14127" width="14.109375" style="11"/>
    <col min="14128" max="14128" width="15.6640625" style="11" customWidth="1"/>
    <col min="14129" max="14140" width="14.109375" style="11"/>
    <col min="14141" max="14141" width="0.109375" style="11" customWidth="1"/>
    <col min="14142" max="14148" width="12" style="11" customWidth="1"/>
    <col min="14149" max="14150" width="10.77734375" style="11" customWidth="1"/>
    <col min="14151" max="14336" width="14.109375" style="11"/>
    <col min="14337" max="14337" width="49.21875" style="11" customWidth="1"/>
    <col min="14338" max="14338" width="52.5546875" style="11" customWidth="1"/>
    <col min="14339" max="14345" width="12" style="11" customWidth="1"/>
    <col min="14346" max="14347" width="12.77734375" style="11" customWidth="1"/>
    <col min="14348" max="14359" width="12.44140625" style="11" customWidth="1"/>
    <col min="14360" max="14366" width="12.88671875" style="11" customWidth="1"/>
    <col min="14367" max="14369" width="13.88671875" style="11" customWidth="1"/>
    <col min="14370" max="14371" width="12" style="11" customWidth="1"/>
    <col min="14372" max="14374" width="13.33203125" style="11" customWidth="1"/>
    <col min="14375" max="14375" width="7.5546875" style="11" customWidth="1"/>
    <col min="14376" max="14383" width="14.109375" style="11"/>
    <col min="14384" max="14384" width="15.6640625" style="11" customWidth="1"/>
    <col min="14385" max="14396" width="14.109375" style="11"/>
    <col min="14397" max="14397" width="0.109375" style="11" customWidth="1"/>
    <col min="14398" max="14404" width="12" style="11" customWidth="1"/>
    <col min="14405" max="14406" width="10.77734375" style="11" customWidth="1"/>
    <col min="14407" max="14592" width="14.109375" style="11"/>
    <col min="14593" max="14593" width="49.21875" style="11" customWidth="1"/>
    <col min="14594" max="14594" width="52.5546875" style="11" customWidth="1"/>
    <col min="14595" max="14601" width="12" style="11" customWidth="1"/>
    <col min="14602" max="14603" width="12.77734375" style="11" customWidth="1"/>
    <col min="14604" max="14615" width="12.44140625" style="11" customWidth="1"/>
    <col min="14616" max="14622" width="12.88671875" style="11" customWidth="1"/>
    <col min="14623" max="14625" width="13.88671875" style="11" customWidth="1"/>
    <col min="14626" max="14627" width="12" style="11" customWidth="1"/>
    <col min="14628" max="14630" width="13.33203125" style="11" customWidth="1"/>
    <col min="14631" max="14631" width="7.5546875" style="11" customWidth="1"/>
    <col min="14632" max="14639" width="14.109375" style="11"/>
    <col min="14640" max="14640" width="15.6640625" style="11" customWidth="1"/>
    <col min="14641" max="14652" width="14.109375" style="11"/>
    <col min="14653" max="14653" width="0.109375" style="11" customWidth="1"/>
    <col min="14654" max="14660" width="12" style="11" customWidth="1"/>
    <col min="14661" max="14662" width="10.77734375" style="11" customWidth="1"/>
    <col min="14663" max="14848" width="14.109375" style="11"/>
    <col min="14849" max="14849" width="49.21875" style="11" customWidth="1"/>
    <col min="14850" max="14850" width="52.5546875" style="11" customWidth="1"/>
    <col min="14851" max="14857" width="12" style="11" customWidth="1"/>
    <col min="14858" max="14859" width="12.77734375" style="11" customWidth="1"/>
    <col min="14860" max="14871" width="12.44140625" style="11" customWidth="1"/>
    <col min="14872" max="14878" width="12.88671875" style="11" customWidth="1"/>
    <col min="14879" max="14881" width="13.88671875" style="11" customWidth="1"/>
    <col min="14882" max="14883" width="12" style="11" customWidth="1"/>
    <col min="14884" max="14886" width="13.33203125" style="11" customWidth="1"/>
    <col min="14887" max="14887" width="7.5546875" style="11" customWidth="1"/>
    <col min="14888" max="14895" width="14.109375" style="11"/>
    <col min="14896" max="14896" width="15.6640625" style="11" customWidth="1"/>
    <col min="14897" max="14908" width="14.109375" style="11"/>
    <col min="14909" max="14909" width="0.109375" style="11" customWidth="1"/>
    <col min="14910" max="14916" width="12" style="11" customWidth="1"/>
    <col min="14917" max="14918" width="10.77734375" style="11" customWidth="1"/>
    <col min="14919" max="15104" width="14.109375" style="11"/>
    <col min="15105" max="15105" width="49.21875" style="11" customWidth="1"/>
    <col min="15106" max="15106" width="52.5546875" style="11" customWidth="1"/>
    <col min="15107" max="15113" width="12" style="11" customWidth="1"/>
    <col min="15114" max="15115" width="12.77734375" style="11" customWidth="1"/>
    <col min="15116" max="15127" width="12.44140625" style="11" customWidth="1"/>
    <col min="15128" max="15134" width="12.88671875" style="11" customWidth="1"/>
    <col min="15135" max="15137" width="13.88671875" style="11" customWidth="1"/>
    <col min="15138" max="15139" width="12" style="11" customWidth="1"/>
    <col min="15140" max="15142" width="13.33203125" style="11" customWidth="1"/>
    <col min="15143" max="15143" width="7.5546875" style="11" customWidth="1"/>
    <col min="15144" max="15151" width="14.109375" style="11"/>
    <col min="15152" max="15152" width="15.6640625" style="11" customWidth="1"/>
    <col min="15153" max="15164" width="14.109375" style="11"/>
    <col min="15165" max="15165" width="0.109375" style="11" customWidth="1"/>
    <col min="15166" max="15172" width="12" style="11" customWidth="1"/>
    <col min="15173" max="15174" width="10.77734375" style="11" customWidth="1"/>
    <col min="15175" max="15360" width="14.109375" style="11"/>
    <col min="15361" max="15361" width="49.21875" style="11" customWidth="1"/>
    <col min="15362" max="15362" width="52.5546875" style="11" customWidth="1"/>
    <col min="15363" max="15369" width="12" style="11" customWidth="1"/>
    <col min="15370" max="15371" width="12.77734375" style="11" customWidth="1"/>
    <col min="15372" max="15383" width="12.44140625" style="11" customWidth="1"/>
    <col min="15384" max="15390" width="12.88671875" style="11" customWidth="1"/>
    <col min="15391" max="15393" width="13.88671875" style="11" customWidth="1"/>
    <col min="15394" max="15395" width="12" style="11" customWidth="1"/>
    <col min="15396" max="15398" width="13.33203125" style="11" customWidth="1"/>
    <col min="15399" max="15399" width="7.5546875" style="11" customWidth="1"/>
    <col min="15400" max="15407" width="14.109375" style="11"/>
    <col min="15408" max="15408" width="15.6640625" style="11" customWidth="1"/>
    <col min="15409" max="15420" width="14.109375" style="11"/>
    <col min="15421" max="15421" width="0.109375" style="11" customWidth="1"/>
    <col min="15422" max="15428" width="12" style="11" customWidth="1"/>
    <col min="15429" max="15430" width="10.77734375" style="11" customWidth="1"/>
    <col min="15431" max="15616" width="14.109375" style="11"/>
    <col min="15617" max="15617" width="49.21875" style="11" customWidth="1"/>
    <col min="15618" max="15618" width="52.5546875" style="11" customWidth="1"/>
    <col min="15619" max="15625" width="12" style="11" customWidth="1"/>
    <col min="15626" max="15627" width="12.77734375" style="11" customWidth="1"/>
    <col min="15628" max="15639" width="12.44140625" style="11" customWidth="1"/>
    <col min="15640" max="15646" width="12.88671875" style="11" customWidth="1"/>
    <col min="15647" max="15649" width="13.88671875" style="11" customWidth="1"/>
    <col min="15650" max="15651" width="12" style="11" customWidth="1"/>
    <col min="15652" max="15654" width="13.33203125" style="11" customWidth="1"/>
    <col min="15655" max="15655" width="7.5546875" style="11" customWidth="1"/>
    <col min="15656" max="15663" width="14.109375" style="11"/>
    <col min="15664" max="15664" width="15.6640625" style="11" customWidth="1"/>
    <col min="15665" max="15676" width="14.109375" style="11"/>
    <col min="15677" max="15677" width="0.109375" style="11" customWidth="1"/>
    <col min="15678" max="15684" width="12" style="11" customWidth="1"/>
    <col min="15685" max="15686" width="10.77734375" style="11" customWidth="1"/>
    <col min="15687" max="15872" width="14.109375" style="11"/>
    <col min="15873" max="15873" width="49.21875" style="11" customWidth="1"/>
    <col min="15874" max="15874" width="52.5546875" style="11" customWidth="1"/>
    <col min="15875" max="15881" width="12" style="11" customWidth="1"/>
    <col min="15882" max="15883" width="12.77734375" style="11" customWidth="1"/>
    <col min="15884" max="15895" width="12.44140625" style="11" customWidth="1"/>
    <col min="15896" max="15902" width="12.88671875" style="11" customWidth="1"/>
    <col min="15903" max="15905" width="13.88671875" style="11" customWidth="1"/>
    <col min="15906" max="15907" width="12" style="11" customWidth="1"/>
    <col min="15908" max="15910" width="13.33203125" style="11" customWidth="1"/>
    <col min="15911" max="15911" width="7.5546875" style="11" customWidth="1"/>
    <col min="15912" max="15919" width="14.109375" style="11"/>
    <col min="15920" max="15920" width="15.6640625" style="11" customWidth="1"/>
    <col min="15921" max="15932" width="14.109375" style="11"/>
    <col min="15933" max="15933" width="0.109375" style="11" customWidth="1"/>
    <col min="15934" max="15940" width="12" style="11" customWidth="1"/>
    <col min="15941" max="15942" width="10.77734375" style="11" customWidth="1"/>
    <col min="15943" max="16128" width="14.109375" style="11"/>
    <col min="16129" max="16129" width="49.21875" style="11" customWidth="1"/>
    <col min="16130" max="16130" width="52.5546875" style="11" customWidth="1"/>
    <col min="16131" max="16137" width="12" style="11" customWidth="1"/>
    <col min="16138" max="16139" width="12.77734375" style="11" customWidth="1"/>
    <col min="16140" max="16151" width="12.44140625" style="11" customWidth="1"/>
    <col min="16152" max="16158" width="12.88671875" style="11" customWidth="1"/>
    <col min="16159" max="16161" width="13.88671875" style="11" customWidth="1"/>
    <col min="16162" max="16163" width="12" style="11" customWidth="1"/>
    <col min="16164" max="16166" width="13.33203125" style="11" customWidth="1"/>
    <col min="16167" max="16167" width="7.5546875" style="11" customWidth="1"/>
    <col min="16168" max="16175" width="14.109375" style="11"/>
    <col min="16176" max="16176" width="15.6640625" style="11" customWidth="1"/>
    <col min="16177" max="16188" width="14.109375" style="11"/>
    <col min="16189" max="16189" width="0.109375" style="11" customWidth="1"/>
    <col min="16190" max="16196" width="12" style="11" customWidth="1"/>
    <col min="16197" max="16198" width="10.77734375" style="11" customWidth="1"/>
    <col min="16199" max="16384" width="14.109375" style="11"/>
  </cols>
  <sheetData>
    <row r="2" spans="1:70" ht="15.6">
      <c r="N2" s="8"/>
      <c r="O2" s="8"/>
      <c r="P2" s="8"/>
      <c r="AL2" s="10"/>
    </row>
    <row r="3" spans="1:70" ht="16.8">
      <c r="A3" s="12" t="s">
        <v>120</v>
      </c>
      <c r="B3" s="13"/>
      <c r="C3" s="7"/>
      <c r="D3" s="7"/>
      <c r="E3" s="7"/>
      <c r="AL3" s="14"/>
    </row>
    <row r="4" spans="1:70" ht="16.8">
      <c r="A4" s="12" t="s">
        <v>121</v>
      </c>
      <c r="B4" s="13"/>
      <c r="C4" s="7"/>
      <c r="D4" s="7"/>
      <c r="E4" s="7"/>
      <c r="AL4" s="14"/>
    </row>
    <row r="5" spans="1:70" ht="24.75" customHeight="1">
      <c r="E5" s="9"/>
    </row>
    <row r="6" spans="1:70" ht="24.75" customHeight="1">
      <c r="A6" s="15" t="s">
        <v>122</v>
      </c>
      <c r="B6" s="15"/>
      <c r="C6" s="15"/>
      <c r="D6" s="15"/>
    </row>
    <row r="7" spans="1:70" ht="15.75" customHeight="1">
      <c r="A7" s="16"/>
      <c r="B7" s="16"/>
      <c r="C7" s="16"/>
      <c r="D7" s="16"/>
      <c r="AL7" s="17"/>
      <c r="AM7" s="18"/>
      <c r="AN7" s="18"/>
      <c r="AO7" s="18"/>
      <c r="AP7" s="18"/>
    </row>
    <row r="9" spans="1:70" s="23" customFormat="1" ht="17.399999999999999">
      <c r="A9" s="19" t="s">
        <v>123</v>
      </c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1"/>
      <c r="AI9" s="21"/>
      <c r="AJ9" s="21"/>
      <c r="AK9" s="21"/>
      <c r="AL9" s="19"/>
      <c r="AM9" s="19"/>
      <c r="AN9" s="19"/>
      <c r="AO9" s="19"/>
      <c r="AP9" s="19"/>
      <c r="AQ9" s="19"/>
      <c r="AR9" s="19"/>
      <c r="AS9" s="19"/>
      <c r="AT9" s="19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</row>
    <row r="10" spans="1:70" ht="15.6" thickBot="1"/>
    <row r="11" spans="1:70" ht="15.6">
      <c r="A11" s="24"/>
      <c r="B11" s="25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8"/>
      <c r="U11" s="28"/>
      <c r="V11" s="28"/>
      <c r="W11" s="28"/>
      <c r="X11" s="28"/>
      <c r="Y11" s="28"/>
      <c r="Z11" s="28"/>
      <c r="AA11" s="28"/>
      <c r="AB11" s="29"/>
      <c r="AC11" s="29"/>
      <c r="AD11" s="29"/>
      <c r="AE11" s="29"/>
      <c r="AF11" s="29"/>
      <c r="AG11" s="29"/>
      <c r="AH11" s="29"/>
      <c r="AI11" s="30"/>
      <c r="AJ11" s="31"/>
      <c r="AK11" s="31"/>
      <c r="AL11" s="31"/>
    </row>
    <row r="12" spans="1:70" ht="15.6">
      <c r="A12" s="32"/>
      <c r="B12" s="33"/>
      <c r="C12" s="34" t="s">
        <v>48</v>
      </c>
      <c r="D12" s="35" t="s">
        <v>82</v>
      </c>
      <c r="E12" s="35" t="s">
        <v>83</v>
      </c>
      <c r="F12" s="35" t="s">
        <v>85</v>
      </c>
      <c r="G12" s="35" t="s">
        <v>86</v>
      </c>
      <c r="H12" s="35" t="s">
        <v>87</v>
      </c>
      <c r="I12" s="35" t="s">
        <v>88</v>
      </c>
      <c r="J12" s="35" t="s">
        <v>89</v>
      </c>
      <c r="K12" s="36" t="s">
        <v>124</v>
      </c>
      <c r="L12" s="36" t="s">
        <v>125</v>
      </c>
      <c r="M12" s="36" t="s">
        <v>126</v>
      </c>
      <c r="N12" s="36" t="s">
        <v>127</v>
      </c>
      <c r="O12" s="36" t="s">
        <v>128</v>
      </c>
      <c r="P12" s="37" t="s">
        <v>129</v>
      </c>
      <c r="Q12" s="36" t="s">
        <v>130</v>
      </c>
      <c r="R12" s="36" t="s">
        <v>131</v>
      </c>
      <c r="S12" s="36" t="s">
        <v>132</v>
      </c>
      <c r="T12" s="38" t="s">
        <v>133</v>
      </c>
      <c r="U12" s="38" t="s">
        <v>94</v>
      </c>
      <c r="V12" s="38" t="s">
        <v>98</v>
      </c>
      <c r="W12" s="38" t="s">
        <v>99</v>
      </c>
      <c r="X12" s="38" t="s">
        <v>100</v>
      </c>
      <c r="Y12" s="38" t="s">
        <v>101</v>
      </c>
      <c r="Z12" s="38" t="s">
        <v>102</v>
      </c>
      <c r="AA12" s="38" t="s">
        <v>104</v>
      </c>
      <c r="AB12" s="39" t="s">
        <v>105</v>
      </c>
      <c r="AC12" s="40" t="s">
        <v>106</v>
      </c>
      <c r="AD12" s="38" t="s">
        <v>107</v>
      </c>
      <c r="AE12" s="40" t="s">
        <v>108</v>
      </c>
      <c r="AF12" s="40" t="s">
        <v>112</v>
      </c>
      <c r="AG12" s="40" t="s">
        <v>113</v>
      </c>
      <c r="AH12" s="40" t="s">
        <v>114</v>
      </c>
      <c r="AI12" s="41" t="s">
        <v>115</v>
      </c>
      <c r="AJ12" s="42" t="s">
        <v>118</v>
      </c>
      <c r="AK12" s="42" t="s">
        <v>119</v>
      </c>
      <c r="AL12" s="42" t="s">
        <v>134</v>
      </c>
      <c r="AO12" s="9"/>
      <c r="AP12" s="9"/>
      <c r="AQ12" s="9"/>
      <c r="AR12" s="9"/>
      <c r="AS12" s="9"/>
      <c r="AT12" s="9"/>
      <c r="AU12" s="9"/>
      <c r="AV12" s="10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</row>
    <row r="13" spans="1:70" ht="15.6">
      <c r="A13" s="32"/>
      <c r="B13" s="33"/>
      <c r="C13" s="43"/>
      <c r="D13" s="44"/>
      <c r="E13" s="44"/>
      <c r="F13" s="44"/>
      <c r="G13" s="44"/>
      <c r="H13" s="44"/>
      <c r="I13" s="44"/>
      <c r="J13" s="44"/>
      <c r="K13" s="44"/>
      <c r="L13" s="35"/>
      <c r="M13" s="35"/>
      <c r="N13" s="44"/>
      <c r="O13" s="44"/>
      <c r="P13" s="35"/>
      <c r="Q13" s="44"/>
      <c r="R13" s="44"/>
      <c r="T13" s="39"/>
      <c r="U13" s="39"/>
      <c r="V13" s="39"/>
      <c r="W13" s="39" t="s">
        <v>135</v>
      </c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45"/>
      <c r="AJ13" s="46"/>
      <c r="AK13" s="46" t="s">
        <v>136</v>
      </c>
      <c r="AL13" s="46" t="s">
        <v>137</v>
      </c>
      <c r="AV13" s="10"/>
      <c r="BR13" s="9"/>
    </row>
    <row r="14" spans="1:70" ht="16.2" thickBot="1">
      <c r="A14" s="47"/>
      <c r="B14" s="48"/>
      <c r="C14" s="49" t="s">
        <v>138</v>
      </c>
      <c r="D14" s="50" t="s">
        <v>139</v>
      </c>
      <c r="E14" s="50" t="s">
        <v>140</v>
      </c>
      <c r="F14" s="50" t="s">
        <v>141</v>
      </c>
      <c r="G14" s="50" t="s">
        <v>142</v>
      </c>
      <c r="H14" s="50" t="s">
        <v>143</v>
      </c>
      <c r="I14" s="50" t="s">
        <v>144</v>
      </c>
      <c r="J14" s="50" t="s">
        <v>145</v>
      </c>
      <c r="K14" s="50" t="s">
        <v>146</v>
      </c>
      <c r="L14" s="50" t="s">
        <v>147</v>
      </c>
      <c r="M14" s="51" t="s">
        <v>148</v>
      </c>
      <c r="N14" s="51" t="s">
        <v>149</v>
      </c>
      <c r="O14" s="51" t="s">
        <v>150</v>
      </c>
      <c r="P14" s="51" t="s">
        <v>151</v>
      </c>
      <c r="Q14" s="51" t="s">
        <v>152</v>
      </c>
      <c r="R14" s="51" t="s">
        <v>153</v>
      </c>
      <c r="S14" s="51" t="s">
        <v>154</v>
      </c>
      <c r="T14" s="51" t="s">
        <v>155</v>
      </c>
      <c r="U14" s="51" t="s">
        <v>156</v>
      </c>
      <c r="V14" s="51" t="s">
        <v>157</v>
      </c>
      <c r="W14" s="51" t="s">
        <v>158</v>
      </c>
      <c r="X14" s="51" t="s">
        <v>159</v>
      </c>
      <c r="Y14" s="51" t="s">
        <v>160</v>
      </c>
      <c r="Z14" s="51" t="s">
        <v>161</v>
      </c>
      <c r="AA14" s="51" t="s">
        <v>162</v>
      </c>
      <c r="AB14" s="52" t="s">
        <v>163</v>
      </c>
      <c r="AC14" s="53" t="s">
        <v>164</v>
      </c>
      <c r="AD14" s="51" t="s">
        <v>165</v>
      </c>
      <c r="AE14" s="53" t="s">
        <v>166</v>
      </c>
      <c r="AF14" s="53" t="s">
        <v>167</v>
      </c>
      <c r="AG14" s="53" t="s">
        <v>168</v>
      </c>
      <c r="AH14" s="53" t="s">
        <v>169</v>
      </c>
      <c r="AI14" s="54" t="s">
        <v>170</v>
      </c>
      <c r="AJ14" s="55" t="s">
        <v>171</v>
      </c>
      <c r="AK14" s="55" t="s">
        <v>172</v>
      </c>
      <c r="AL14" s="55" t="s">
        <v>173</v>
      </c>
      <c r="BJ14" s="56"/>
      <c r="BK14" s="56"/>
      <c r="BL14" s="56"/>
      <c r="BM14" s="56"/>
      <c r="BN14" s="56"/>
      <c r="BO14" s="56"/>
      <c r="BP14" s="56"/>
      <c r="BQ14" s="56"/>
      <c r="BR14" s="56"/>
    </row>
    <row r="15" spans="1:70" ht="15.6" hidden="1">
      <c r="A15" s="57" t="s">
        <v>174</v>
      </c>
      <c r="B15" s="58" t="s">
        <v>55</v>
      </c>
      <c r="C15" s="59"/>
      <c r="D15" s="60"/>
      <c r="E15" s="60"/>
      <c r="F15" s="60"/>
      <c r="G15" s="61"/>
      <c r="H15" s="61"/>
      <c r="I15" s="61"/>
      <c r="J15" s="61"/>
      <c r="K15" s="61"/>
      <c r="L15" s="62"/>
      <c r="M15" s="62"/>
      <c r="N15" s="62"/>
      <c r="O15" s="62"/>
      <c r="P15" s="60">
        <v>7</v>
      </c>
      <c r="Q15" s="60">
        <v>7.5</v>
      </c>
      <c r="R15" s="63">
        <v>7.2</v>
      </c>
      <c r="S15" s="63">
        <v>8.3000000000000007</v>
      </c>
      <c r="T15" s="6">
        <v>4</v>
      </c>
      <c r="U15" s="6">
        <v>2.8</v>
      </c>
      <c r="V15" s="6">
        <v>4.2</v>
      </c>
      <c r="W15" s="6">
        <v>6.5</v>
      </c>
      <c r="X15" s="6">
        <v>6.5</v>
      </c>
      <c r="Y15" s="6">
        <v>5.6</v>
      </c>
      <c r="Z15" s="6">
        <v>3.8</v>
      </c>
      <c r="AA15" s="6">
        <v>6.2</v>
      </c>
      <c r="AB15" s="6">
        <v>6</v>
      </c>
      <c r="AC15" s="6">
        <v>6</v>
      </c>
      <c r="AD15" s="6">
        <v>6</v>
      </c>
      <c r="AE15" s="6">
        <v>6</v>
      </c>
      <c r="AF15" s="6">
        <v>6</v>
      </c>
      <c r="AG15" s="6">
        <v>6</v>
      </c>
      <c r="AH15" s="6">
        <v>6</v>
      </c>
      <c r="AI15" s="64">
        <v>6</v>
      </c>
      <c r="AJ15" s="65">
        <v>6</v>
      </c>
      <c r="AK15" s="65">
        <v>6</v>
      </c>
      <c r="AL15" s="65">
        <v>6</v>
      </c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spans="1:70" ht="15.6" hidden="1">
      <c r="A16" s="57" t="s">
        <v>175</v>
      </c>
      <c r="B16" s="58" t="s">
        <v>90</v>
      </c>
      <c r="C16" s="59"/>
      <c r="D16" s="60"/>
      <c r="E16" s="60"/>
      <c r="F16" s="60"/>
      <c r="G16" s="61"/>
      <c r="H16" s="61"/>
      <c r="I16" s="61"/>
      <c r="J16" s="61"/>
      <c r="K16" s="61"/>
      <c r="L16" s="62"/>
      <c r="M16" s="62"/>
      <c r="N16" s="62"/>
      <c r="O16" s="62"/>
      <c r="P16" s="60"/>
      <c r="Q16" s="60"/>
      <c r="R16" s="63"/>
      <c r="S16" s="63"/>
      <c r="T16" s="6"/>
      <c r="U16" s="6"/>
      <c r="V16" s="6"/>
      <c r="W16" s="6"/>
      <c r="X16" s="6"/>
      <c r="Y16" s="6"/>
      <c r="Z16" s="6">
        <v>4.5999999999999996</v>
      </c>
      <c r="AA16" s="6">
        <v>1.1000000000000001</v>
      </c>
      <c r="AB16" s="6">
        <v>5.5</v>
      </c>
      <c r="AC16" s="6">
        <v>5</v>
      </c>
      <c r="AD16" s="6">
        <v>5.0999999999999996</v>
      </c>
      <c r="AE16" s="6">
        <v>5.0999999999999996</v>
      </c>
      <c r="AF16" s="6">
        <v>5.0999999999999996</v>
      </c>
      <c r="AG16" s="6">
        <v>5.0999999999999996</v>
      </c>
      <c r="AH16" s="6">
        <v>5.0999999999999996</v>
      </c>
      <c r="AI16" s="64">
        <v>5.0999999999999996</v>
      </c>
      <c r="AJ16" s="65">
        <v>5.0999999999999996</v>
      </c>
      <c r="AK16" s="65">
        <v>5.0999999999999996</v>
      </c>
      <c r="AL16" s="65">
        <v>5.0999999999999996</v>
      </c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spans="1:57" s="11" customFormat="1" ht="15.6" hidden="1">
      <c r="A17" s="66" t="s">
        <v>176</v>
      </c>
      <c r="B17" s="58" t="s">
        <v>76</v>
      </c>
      <c r="C17" s="59">
        <v>639.4</v>
      </c>
      <c r="D17" s="60">
        <v>593</v>
      </c>
      <c r="E17" s="60">
        <v>623.1</v>
      </c>
      <c r="F17" s="60">
        <v>550.9</v>
      </c>
      <c r="G17" s="60">
        <v>538.79999999999995</v>
      </c>
      <c r="H17" s="60">
        <v>337.6</v>
      </c>
      <c r="I17" s="60">
        <v>947.3</v>
      </c>
      <c r="J17" s="60">
        <v>1077</v>
      </c>
      <c r="K17" s="60">
        <v>791.9</v>
      </c>
      <c r="L17" s="60">
        <v>669.1</v>
      </c>
      <c r="M17" s="60">
        <v>973.7</v>
      </c>
      <c r="N17" s="60">
        <v>1411.4</v>
      </c>
      <c r="O17" s="60">
        <v>861.1</v>
      </c>
      <c r="P17" s="60">
        <v>1412</v>
      </c>
      <c r="Q17" s="60">
        <v>989.8</v>
      </c>
      <c r="R17" s="63">
        <v>826.9</v>
      </c>
      <c r="S17" s="63">
        <v>1111.4000000000001</v>
      </c>
      <c r="T17" s="6">
        <v>1236.0999999999999</v>
      </c>
      <c r="U17" s="6">
        <v>1030</v>
      </c>
      <c r="V17" s="6">
        <v>1401.5</v>
      </c>
      <c r="W17" s="6">
        <v>1391.9</v>
      </c>
      <c r="X17" s="6">
        <v>1615</v>
      </c>
      <c r="Y17" s="6">
        <v>618.20000000000005</v>
      </c>
      <c r="Z17" s="6">
        <v>1781.5</v>
      </c>
      <c r="AA17" s="6">
        <v>842.2</v>
      </c>
      <c r="AB17" s="6">
        <v>1403.3</v>
      </c>
      <c r="AC17" s="6">
        <v>1290.5999999999999</v>
      </c>
      <c r="AD17" s="6">
        <v>1250</v>
      </c>
      <c r="AE17" s="6">
        <v>1250</v>
      </c>
      <c r="AF17" s="6">
        <v>1250</v>
      </c>
      <c r="AG17" s="6">
        <v>1250</v>
      </c>
      <c r="AH17" s="6">
        <v>1250</v>
      </c>
      <c r="AI17" s="64">
        <v>1250</v>
      </c>
      <c r="AJ17" s="65">
        <v>1250</v>
      </c>
      <c r="AK17" s="65">
        <v>1250</v>
      </c>
      <c r="AL17" s="65">
        <v>1250</v>
      </c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s="11" customFormat="1" ht="15.6" hidden="1">
      <c r="A18" s="66" t="s">
        <v>177</v>
      </c>
      <c r="B18" s="58" t="s">
        <v>58</v>
      </c>
      <c r="C18" s="59">
        <v>1</v>
      </c>
      <c r="D18" s="60">
        <v>4.3</v>
      </c>
      <c r="E18" s="60">
        <v>1.6</v>
      </c>
      <c r="F18" s="60">
        <v>2.2999999999999998</v>
      </c>
      <c r="G18" s="60">
        <v>2</v>
      </c>
      <c r="H18" s="60">
        <v>2.2999999999999998</v>
      </c>
      <c r="I18" s="60">
        <v>2.5</v>
      </c>
      <c r="J18" s="60">
        <v>2.7</v>
      </c>
      <c r="K18" s="60">
        <v>3.4</v>
      </c>
      <c r="L18" s="60">
        <v>4.0999999999999996</v>
      </c>
      <c r="M18" s="60">
        <v>3.2</v>
      </c>
      <c r="N18" s="60">
        <v>3.6</v>
      </c>
      <c r="O18" s="60">
        <v>4.7</v>
      </c>
      <c r="P18" s="60">
        <v>4.5999999999999996</v>
      </c>
      <c r="Q18" s="60">
        <v>4.7</v>
      </c>
      <c r="R18" s="63">
        <v>4.4000000000000004</v>
      </c>
      <c r="S18" s="63">
        <v>3.3</v>
      </c>
      <c r="T18" s="6">
        <v>4.7</v>
      </c>
      <c r="U18" s="6">
        <v>7</v>
      </c>
      <c r="V18" s="6">
        <v>5.7</v>
      </c>
      <c r="W18" s="6">
        <v>6.1</v>
      </c>
      <c r="X18" s="6">
        <v>3.2</v>
      </c>
      <c r="Y18" s="6">
        <v>5.0999999999999996</v>
      </c>
      <c r="Z18" s="6">
        <v>4.8</v>
      </c>
      <c r="AA18" s="6">
        <v>1.7</v>
      </c>
      <c r="AB18" s="6">
        <v>5.4</v>
      </c>
      <c r="AC18" s="6">
        <v>2.8</v>
      </c>
      <c r="AD18" s="6">
        <v>4.5</v>
      </c>
      <c r="AE18" s="6">
        <v>4.5</v>
      </c>
      <c r="AF18" s="6">
        <v>4.5</v>
      </c>
      <c r="AG18" s="6">
        <v>4.5</v>
      </c>
      <c r="AH18" s="6">
        <v>4.5</v>
      </c>
      <c r="AI18" s="64">
        <v>4.5</v>
      </c>
      <c r="AJ18" s="65">
        <v>4.5</v>
      </c>
      <c r="AK18" s="65">
        <v>4.5</v>
      </c>
      <c r="AL18" s="65">
        <v>4.5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s="11" customFormat="1" ht="15.6" hidden="1">
      <c r="A19" s="66" t="s">
        <v>178</v>
      </c>
      <c r="B19" s="58" t="s">
        <v>59</v>
      </c>
      <c r="C19" s="59">
        <v>170</v>
      </c>
      <c r="D19" s="60">
        <v>385</v>
      </c>
      <c r="E19" s="60">
        <v>310</v>
      </c>
      <c r="F19" s="60">
        <v>254</v>
      </c>
      <c r="G19" s="60">
        <v>350</v>
      </c>
      <c r="H19" s="60">
        <v>400</v>
      </c>
      <c r="I19" s="60">
        <v>390</v>
      </c>
      <c r="J19" s="60">
        <v>375</v>
      </c>
      <c r="K19" s="60">
        <v>473</v>
      </c>
      <c r="L19" s="60">
        <v>420</v>
      </c>
      <c r="M19" s="60">
        <v>430</v>
      </c>
      <c r="N19" s="60">
        <v>358.3</v>
      </c>
      <c r="O19" s="60">
        <v>414</v>
      </c>
      <c r="P19" s="60">
        <v>308</v>
      </c>
      <c r="Q19" s="60">
        <v>435</v>
      </c>
      <c r="R19" s="63">
        <v>424</v>
      </c>
      <c r="S19" s="63">
        <v>370</v>
      </c>
      <c r="T19" s="6">
        <v>327.2</v>
      </c>
      <c r="U19" s="6">
        <v>305</v>
      </c>
      <c r="V19" s="6">
        <v>320</v>
      </c>
      <c r="W19" s="6">
        <v>301</v>
      </c>
      <c r="X19" s="6">
        <v>294.60000000000002</v>
      </c>
      <c r="Y19" s="6">
        <v>357.9</v>
      </c>
      <c r="Z19" s="6">
        <v>132</v>
      </c>
      <c r="AA19" s="6">
        <v>300</v>
      </c>
      <c r="AB19" s="6">
        <v>320</v>
      </c>
      <c r="AC19" s="6">
        <v>195</v>
      </c>
      <c r="AD19" s="6">
        <v>320</v>
      </c>
      <c r="AE19" s="6">
        <v>320</v>
      </c>
      <c r="AF19" s="6">
        <v>320</v>
      </c>
      <c r="AG19" s="6">
        <v>320</v>
      </c>
      <c r="AH19" s="6">
        <v>320</v>
      </c>
      <c r="AI19" s="64">
        <v>320</v>
      </c>
      <c r="AJ19" s="65">
        <v>320</v>
      </c>
      <c r="AK19" s="65">
        <v>320</v>
      </c>
      <c r="AL19" s="65">
        <v>320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s="11" customFormat="1" ht="15.6" hidden="1">
      <c r="A20" s="66" t="s">
        <v>179</v>
      </c>
      <c r="B20" s="58" t="s">
        <v>63</v>
      </c>
      <c r="C20" s="59">
        <v>163.30000000000001</v>
      </c>
      <c r="D20" s="60">
        <v>674.5</v>
      </c>
      <c r="E20" s="60">
        <v>435</v>
      </c>
      <c r="F20" s="60">
        <v>520</v>
      </c>
      <c r="G20" s="60">
        <v>448</v>
      </c>
      <c r="H20" s="60">
        <v>620</v>
      </c>
      <c r="I20" s="60">
        <v>370</v>
      </c>
      <c r="J20" s="60">
        <v>620</v>
      </c>
      <c r="K20" s="60">
        <v>403.5</v>
      </c>
      <c r="L20" s="60">
        <v>735</v>
      </c>
      <c r="M20" s="60">
        <v>509</v>
      </c>
      <c r="N20" s="60">
        <v>656.7</v>
      </c>
      <c r="O20" s="60">
        <v>634</v>
      </c>
      <c r="P20" s="60">
        <v>685</v>
      </c>
      <c r="Q20" s="60">
        <v>879</v>
      </c>
      <c r="R20" s="63">
        <v>636.5</v>
      </c>
      <c r="S20" s="63">
        <v>490</v>
      </c>
      <c r="T20" s="6">
        <v>510</v>
      </c>
      <c r="U20" s="6">
        <v>540</v>
      </c>
      <c r="V20" s="6">
        <v>430</v>
      </c>
      <c r="W20" s="6">
        <v>440</v>
      </c>
      <c r="X20" s="6">
        <v>399.2</v>
      </c>
      <c r="Y20" s="6">
        <v>415.5</v>
      </c>
      <c r="Z20" s="6">
        <v>463.7</v>
      </c>
      <c r="AA20" s="6">
        <v>222</v>
      </c>
      <c r="AB20" s="6">
        <v>474.6</v>
      </c>
      <c r="AC20" s="6">
        <v>182.3</v>
      </c>
      <c r="AD20" s="6">
        <v>432</v>
      </c>
      <c r="AE20" s="6">
        <v>432</v>
      </c>
      <c r="AF20" s="6">
        <v>432</v>
      </c>
      <c r="AG20" s="6">
        <v>432</v>
      </c>
      <c r="AH20" s="6">
        <v>432</v>
      </c>
      <c r="AI20" s="64">
        <v>432</v>
      </c>
      <c r="AJ20" s="65">
        <v>432</v>
      </c>
      <c r="AK20" s="65">
        <v>432</v>
      </c>
      <c r="AL20" s="65">
        <v>432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s="11" customFormat="1" ht="15.6" hidden="1">
      <c r="A21" s="66" t="s">
        <v>180</v>
      </c>
      <c r="B21" s="58" t="s">
        <v>92</v>
      </c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3"/>
      <c r="S21" s="63"/>
      <c r="T21" s="6"/>
      <c r="U21" s="6"/>
      <c r="V21" s="6"/>
      <c r="W21" s="6"/>
      <c r="X21" s="6"/>
      <c r="Y21" s="6"/>
      <c r="Z21" s="6">
        <v>0.04</v>
      </c>
      <c r="AA21" s="6">
        <v>0.1</v>
      </c>
      <c r="AB21" s="6">
        <v>0.04</v>
      </c>
      <c r="AC21" s="6">
        <v>0.04</v>
      </c>
      <c r="AD21" s="6">
        <v>0.04</v>
      </c>
      <c r="AE21" s="6">
        <v>0.04</v>
      </c>
      <c r="AF21" s="6">
        <v>0.04</v>
      </c>
      <c r="AG21" s="6">
        <v>0.04</v>
      </c>
      <c r="AH21" s="6">
        <v>0.04</v>
      </c>
      <c r="AI21" s="64">
        <v>0.04</v>
      </c>
      <c r="AJ21" s="65">
        <v>0.04</v>
      </c>
      <c r="AK21" s="65">
        <v>0.04</v>
      </c>
      <c r="AL21" s="65">
        <v>0.04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s="11" customFormat="1" ht="15.6" hidden="1">
      <c r="A22" s="66" t="s">
        <v>181</v>
      </c>
      <c r="B22" s="58" t="s">
        <v>73</v>
      </c>
      <c r="C22" s="59">
        <v>20</v>
      </c>
      <c r="D22" s="60">
        <v>62</v>
      </c>
      <c r="E22" s="60">
        <v>22</v>
      </c>
      <c r="F22" s="60">
        <v>32.1</v>
      </c>
      <c r="G22" s="60">
        <v>32.200000000000003</v>
      </c>
      <c r="H22" s="60">
        <v>43.7</v>
      </c>
      <c r="I22" s="60">
        <v>44.8</v>
      </c>
      <c r="J22" s="60">
        <v>42</v>
      </c>
      <c r="K22" s="60">
        <v>35.1</v>
      </c>
      <c r="L22" s="60">
        <v>50.2</v>
      </c>
      <c r="M22" s="60">
        <v>24.6</v>
      </c>
      <c r="N22" s="60">
        <v>33.700000000000003</v>
      </c>
      <c r="O22" s="60">
        <v>28.9</v>
      </c>
      <c r="P22" s="60">
        <v>31.2</v>
      </c>
      <c r="Q22" s="60">
        <v>41.2</v>
      </c>
      <c r="R22" s="63">
        <v>29.1</v>
      </c>
      <c r="S22" s="63">
        <v>47.5</v>
      </c>
      <c r="T22" s="6">
        <v>36.299999999999997</v>
      </c>
      <c r="U22" s="6">
        <v>53.4</v>
      </c>
      <c r="V22" s="6">
        <v>62.5</v>
      </c>
      <c r="W22" s="6">
        <v>62.9</v>
      </c>
      <c r="X22" s="6">
        <v>76.2</v>
      </c>
      <c r="Y22" s="6">
        <v>59.2</v>
      </c>
      <c r="Z22" s="6">
        <v>91.6</v>
      </c>
      <c r="AA22" s="6">
        <v>61</v>
      </c>
      <c r="AB22" s="6">
        <v>109.1</v>
      </c>
      <c r="AC22" s="6">
        <v>69.400000000000006</v>
      </c>
      <c r="AD22" s="6">
        <v>125</v>
      </c>
      <c r="AE22" s="6">
        <v>125</v>
      </c>
      <c r="AF22" s="6">
        <v>125</v>
      </c>
      <c r="AG22" s="6">
        <v>125</v>
      </c>
      <c r="AH22" s="6">
        <v>125</v>
      </c>
      <c r="AI22" s="64">
        <v>125</v>
      </c>
      <c r="AJ22" s="65">
        <v>125</v>
      </c>
      <c r="AK22" s="65">
        <v>125</v>
      </c>
      <c r="AL22" s="65">
        <v>125</v>
      </c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s="11" customFormat="1" ht="15.6" hidden="1">
      <c r="A23" s="57" t="s">
        <v>182</v>
      </c>
      <c r="B23" s="58" t="s">
        <v>93</v>
      </c>
      <c r="C23" s="59"/>
      <c r="D23" s="60"/>
      <c r="E23" s="60"/>
      <c r="F23" s="60"/>
      <c r="G23" s="61"/>
      <c r="H23" s="61"/>
      <c r="I23" s="61"/>
      <c r="J23" s="61"/>
      <c r="K23" s="61"/>
      <c r="L23" s="62"/>
      <c r="M23" s="62"/>
      <c r="N23" s="62"/>
      <c r="O23" s="62"/>
      <c r="P23" s="63">
        <v>0.2</v>
      </c>
      <c r="Q23" s="63">
        <v>0</v>
      </c>
      <c r="R23" s="63">
        <v>0.5</v>
      </c>
      <c r="S23" s="63">
        <v>0.3</v>
      </c>
      <c r="T23" s="6">
        <v>0.4</v>
      </c>
      <c r="U23" s="6">
        <v>0.5</v>
      </c>
      <c r="V23" s="6">
        <v>0.7</v>
      </c>
      <c r="W23" s="6">
        <v>0.7</v>
      </c>
      <c r="X23" s="6">
        <v>0.5</v>
      </c>
      <c r="Y23" s="6">
        <v>0.2</v>
      </c>
      <c r="Z23" s="6">
        <v>0.6</v>
      </c>
      <c r="AA23" s="6">
        <v>0.2</v>
      </c>
      <c r="AB23" s="6">
        <v>0.5</v>
      </c>
      <c r="AC23" s="6">
        <v>0.4</v>
      </c>
      <c r="AD23" s="6">
        <v>0.4</v>
      </c>
      <c r="AE23" s="6">
        <v>0.4</v>
      </c>
      <c r="AF23" s="6">
        <v>0.4</v>
      </c>
      <c r="AG23" s="6">
        <v>0.4</v>
      </c>
      <c r="AH23" s="6">
        <v>0.4</v>
      </c>
      <c r="AI23" s="64">
        <v>0.4</v>
      </c>
      <c r="AJ23" s="65">
        <v>0.4</v>
      </c>
      <c r="AK23" s="65">
        <v>0.4</v>
      </c>
      <c r="AL23" s="65">
        <v>0.4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>
      <c r="A24" s="66"/>
      <c r="B24" s="67"/>
      <c r="C24" s="68"/>
      <c r="AH24" s="9"/>
      <c r="AI24" s="69"/>
      <c r="AJ24" s="70"/>
      <c r="AK24" s="70"/>
      <c r="AL24" s="70"/>
    </row>
    <row r="25" spans="1:57">
      <c r="A25" s="68" t="s">
        <v>183</v>
      </c>
      <c r="B25" s="71" t="s">
        <v>95</v>
      </c>
      <c r="C25" s="68"/>
      <c r="T25" s="9">
        <v>4</v>
      </c>
      <c r="U25" s="6">
        <v>6</v>
      </c>
      <c r="V25" s="6">
        <v>5</v>
      </c>
      <c r="W25" s="6">
        <v>8</v>
      </c>
      <c r="X25" s="6">
        <v>7</v>
      </c>
      <c r="Y25" s="6">
        <v>12</v>
      </c>
      <c r="Z25" s="6">
        <v>10.5</v>
      </c>
      <c r="AA25" s="6">
        <v>11</v>
      </c>
      <c r="AB25" s="6">
        <v>10</v>
      </c>
      <c r="AC25" s="6">
        <v>11.5</v>
      </c>
      <c r="AD25" s="6">
        <v>11</v>
      </c>
      <c r="AE25" s="6">
        <v>12.5</v>
      </c>
      <c r="AF25" s="6">
        <v>11.5</v>
      </c>
      <c r="AG25" s="6">
        <v>13</v>
      </c>
      <c r="AH25" s="6">
        <v>16.5</v>
      </c>
      <c r="AI25" s="64">
        <v>29</v>
      </c>
      <c r="AJ25" s="72">
        <v>28.5</v>
      </c>
      <c r="AK25" s="72">
        <v>25</v>
      </c>
      <c r="AL25" s="73">
        <v>25.5</v>
      </c>
    </row>
    <row r="26" spans="1:57">
      <c r="A26" s="68" t="s">
        <v>184</v>
      </c>
      <c r="B26" s="71" t="s">
        <v>49</v>
      </c>
      <c r="C26" s="68">
        <v>6</v>
      </c>
      <c r="D26" s="6">
        <v>37</v>
      </c>
      <c r="E26" s="6">
        <v>27</v>
      </c>
      <c r="F26" s="6">
        <v>21</v>
      </c>
      <c r="G26" s="6">
        <v>16.5</v>
      </c>
      <c r="H26" s="6">
        <v>51.5</v>
      </c>
      <c r="I26" s="6">
        <v>50.5</v>
      </c>
      <c r="J26" s="6">
        <v>15</v>
      </c>
      <c r="K26" s="6">
        <v>54.5</v>
      </c>
      <c r="L26" s="6">
        <v>33.5</v>
      </c>
      <c r="M26" s="6">
        <v>26.5</v>
      </c>
      <c r="N26" s="6">
        <v>25.5</v>
      </c>
      <c r="O26" s="6">
        <v>15</v>
      </c>
      <c r="P26" s="6">
        <v>69.5</v>
      </c>
      <c r="Q26" s="6">
        <v>33.5</v>
      </c>
      <c r="R26" s="6">
        <v>32</v>
      </c>
      <c r="S26" s="6">
        <v>21.5</v>
      </c>
      <c r="T26" s="6">
        <v>24</v>
      </c>
      <c r="U26" s="6">
        <v>61.5</v>
      </c>
      <c r="V26" s="6">
        <v>26.5</v>
      </c>
      <c r="W26" s="6">
        <v>67</v>
      </c>
      <c r="X26" s="6">
        <v>39.5</v>
      </c>
      <c r="Y26" s="6">
        <v>66</v>
      </c>
      <c r="Z26" s="6">
        <v>44</v>
      </c>
      <c r="AA26" s="6">
        <v>69.5</v>
      </c>
      <c r="AB26" s="6">
        <v>82</v>
      </c>
      <c r="AC26" s="6">
        <v>63</v>
      </c>
      <c r="AD26" s="6">
        <v>82.5</v>
      </c>
      <c r="AE26" s="6">
        <v>97</v>
      </c>
      <c r="AF26" s="6">
        <v>126</v>
      </c>
      <c r="AG26" s="6">
        <v>70.5</v>
      </c>
      <c r="AH26" s="6">
        <v>94.5</v>
      </c>
      <c r="AI26" s="64">
        <v>75.5</v>
      </c>
      <c r="AJ26" s="72">
        <v>64</v>
      </c>
      <c r="AK26" s="73">
        <v>85</v>
      </c>
      <c r="AL26" s="73">
        <v>75.5</v>
      </c>
    </row>
    <row r="27" spans="1:57">
      <c r="A27" s="68" t="s">
        <v>185</v>
      </c>
      <c r="B27" s="71" t="s">
        <v>75</v>
      </c>
      <c r="C27" s="68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5</v>
      </c>
      <c r="AI27" s="64">
        <v>29.5</v>
      </c>
      <c r="AJ27" s="72">
        <v>32</v>
      </c>
      <c r="AK27" s="72">
        <v>30</v>
      </c>
      <c r="AL27" s="72">
        <v>34</v>
      </c>
    </row>
    <row r="28" spans="1:57">
      <c r="A28" s="68" t="s">
        <v>186</v>
      </c>
      <c r="B28" s="71" t="s">
        <v>50</v>
      </c>
      <c r="C28" s="68">
        <v>8</v>
      </c>
      <c r="D28" s="6">
        <v>9</v>
      </c>
      <c r="E28" s="6">
        <v>10</v>
      </c>
      <c r="F28" s="6">
        <v>8</v>
      </c>
      <c r="G28" s="6">
        <v>6.5</v>
      </c>
      <c r="H28" s="6">
        <v>11</v>
      </c>
      <c r="I28" s="6">
        <v>11.5</v>
      </c>
      <c r="J28" s="6">
        <v>8</v>
      </c>
      <c r="K28" s="6">
        <v>6.5</v>
      </c>
      <c r="L28" s="6">
        <v>11</v>
      </c>
      <c r="M28" s="6">
        <v>4</v>
      </c>
      <c r="N28" s="6">
        <v>10</v>
      </c>
      <c r="O28" s="6">
        <v>11</v>
      </c>
      <c r="P28" s="6">
        <v>13.5</v>
      </c>
      <c r="Q28" s="6">
        <v>18</v>
      </c>
      <c r="R28" s="6">
        <v>23</v>
      </c>
      <c r="S28" s="6">
        <v>15</v>
      </c>
      <c r="T28" s="9">
        <v>27</v>
      </c>
      <c r="U28" s="6">
        <v>23</v>
      </c>
      <c r="V28" s="6">
        <v>17</v>
      </c>
      <c r="W28" s="6">
        <v>20</v>
      </c>
      <c r="X28" s="6">
        <v>32</v>
      </c>
      <c r="Y28" s="6">
        <v>17</v>
      </c>
      <c r="Z28" s="6">
        <v>30</v>
      </c>
      <c r="AA28" s="6">
        <v>30</v>
      </c>
      <c r="AB28" s="6">
        <v>24</v>
      </c>
      <c r="AC28" s="6">
        <v>24</v>
      </c>
      <c r="AD28" s="6">
        <v>45</v>
      </c>
      <c r="AE28" s="6">
        <v>28</v>
      </c>
      <c r="AF28" s="6">
        <v>30</v>
      </c>
      <c r="AG28" s="6">
        <v>30</v>
      </c>
      <c r="AH28" s="6">
        <v>33</v>
      </c>
      <c r="AI28" s="64">
        <v>32</v>
      </c>
      <c r="AJ28" s="72">
        <v>43</v>
      </c>
      <c r="AK28" s="72">
        <v>33</v>
      </c>
      <c r="AL28" s="72">
        <v>23</v>
      </c>
    </row>
    <row r="29" spans="1:57">
      <c r="A29" s="68" t="s">
        <v>187</v>
      </c>
      <c r="B29" s="71" t="s">
        <v>116</v>
      </c>
      <c r="C29" s="68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I29" s="64">
        <v>2</v>
      </c>
      <c r="AJ29" s="72">
        <v>1</v>
      </c>
      <c r="AK29" s="73">
        <v>2</v>
      </c>
      <c r="AL29" s="73">
        <v>1.5</v>
      </c>
    </row>
    <row r="30" spans="1:57">
      <c r="A30" s="68" t="s">
        <v>188</v>
      </c>
      <c r="B30" s="71" t="s">
        <v>117</v>
      </c>
      <c r="C30" s="68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I30" s="64">
        <v>0</v>
      </c>
      <c r="AJ30" s="73">
        <v>0</v>
      </c>
      <c r="AK30" s="73">
        <v>0</v>
      </c>
      <c r="AL30" s="73">
        <v>0</v>
      </c>
    </row>
    <row r="31" spans="1:57">
      <c r="A31" s="68" t="s">
        <v>174</v>
      </c>
      <c r="B31" s="71" t="s">
        <v>55</v>
      </c>
      <c r="C31" s="68">
        <v>2</v>
      </c>
      <c r="D31" s="6">
        <v>1.5</v>
      </c>
      <c r="E31" s="6">
        <v>3</v>
      </c>
      <c r="F31" s="6">
        <v>3</v>
      </c>
      <c r="G31" s="6">
        <v>3</v>
      </c>
      <c r="H31" s="6">
        <v>2.5</v>
      </c>
      <c r="I31" s="6">
        <v>2</v>
      </c>
      <c r="J31" s="6">
        <v>1.5</v>
      </c>
      <c r="K31" s="6">
        <v>2.5</v>
      </c>
      <c r="L31" s="6">
        <v>3.5</v>
      </c>
      <c r="M31" s="6">
        <v>5.5</v>
      </c>
      <c r="N31" s="6">
        <v>6.5</v>
      </c>
      <c r="O31" s="6">
        <v>7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I31" s="64"/>
      <c r="AJ31" s="65"/>
      <c r="AK31" s="65"/>
      <c r="AL31" s="65"/>
    </row>
    <row r="32" spans="1:57">
      <c r="A32" s="68" t="s">
        <v>175</v>
      </c>
      <c r="B32" s="71" t="s">
        <v>90</v>
      </c>
      <c r="C32" s="68"/>
      <c r="J32" s="6">
        <v>1.5</v>
      </c>
      <c r="K32" s="6">
        <v>5</v>
      </c>
      <c r="L32" s="6">
        <v>9</v>
      </c>
      <c r="M32" s="6">
        <v>5.5</v>
      </c>
      <c r="N32" s="6">
        <v>5</v>
      </c>
      <c r="O32" s="6">
        <v>7</v>
      </c>
      <c r="P32" s="6">
        <v>3</v>
      </c>
      <c r="Q32" s="6">
        <v>5</v>
      </c>
      <c r="R32" s="6">
        <v>5</v>
      </c>
      <c r="S32" s="6">
        <v>4</v>
      </c>
      <c r="T32" s="6">
        <v>4.5</v>
      </c>
      <c r="U32" s="6">
        <v>6</v>
      </c>
      <c r="V32" s="6">
        <v>5</v>
      </c>
      <c r="W32" s="6">
        <v>5</v>
      </c>
      <c r="X32" s="6">
        <v>4</v>
      </c>
      <c r="Y32" s="6">
        <v>4</v>
      </c>
      <c r="Z32" s="6"/>
      <c r="AA32" s="6"/>
      <c r="AB32" s="6"/>
      <c r="AC32" s="6"/>
      <c r="AD32" s="6"/>
      <c r="AE32" s="6"/>
      <c r="AF32" s="6"/>
      <c r="AG32" s="6"/>
      <c r="AI32" s="64"/>
      <c r="AJ32" s="65"/>
      <c r="AK32" s="65"/>
      <c r="AL32" s="65"/>
    </row>
    <row r="33" spans="1:70">
      <c r="A33" s="68" t="s">
        <v>189</v>
      </c>
      <c r="B33" s="71" t="s">
        <v>56</v>
      </c>
      <c r="C33" s="68">
        <v>0.5</v>
      </c>
      <c r="D33" s="6">
        <v>1</v>
      </c>
      <c r="E33" s="6">
        <v>1</v>
      </c>
      <c r="F33" s="6">
        <v>1</v>
      </c>
      <c r="G33" s="6">
        <v>1</v>
      </c>
      <c r="H33" s="6">
        <v>2.5</v>
      </c>
      <c r="I33" s="6">
        <v>0.5</v>
      </c>
      <c r="J33" s="6">
        <v>1</v>
      </c>
      <c r="K33" s="6">
        <v>0.5</v>
      </c>
      <c r="L33" s="6">
        <v>2.5</v>
      </c>
      <c r="M33" s="6">
        <v>0.5</v>
      </c>
      <c r="N33" s="6">
        <v>1.5</v>
      </c>
      <c r="O33" s="6">
        <v>5</v>
      </c>
      <c r="P33" s="6">
        <v>2</v>
      </c>
      <c r="Q33" s="6">
        <v>2.5</v>
      </c>
      <c r="R33" s="6">
        <v>2.5</v>
      </c>
      <c r="S33" s="6">
        <v>10.5</v>
      </c>
      <c r="T33" s="6">
        <v>7.5</v>
      </c>
      <c r="U33" s="6">
        <v>5</v>
      </c>
      <c r="V33" s="6">
        <v>3</v>
      </c>
      <c r="W33" s="6">
        <v>4</v>
      </c>
      <c r="X33" s="6">
        <v>9</v>
      </c>
      <c r="Y33" s="6">
        <v>16.5</v>
      </c>
      <c r="Z33" s="6">
        <v>20</v>
      </c>
      <c r="AA33" s="6">
        <v>17</v>
      </c>
      <c r="AB33" s="6">
        <v>16.5</v>
      </c>
      <c r="AC33" s="6">
        <v>30</v>
      </c>
      <c r="AD33" s="6">
        <v>39.5</v>
      </c>
      <c r="AE33" s="6">
        <v>41</v>
      </c>
      <c r="AF33" s="6">
        <v>40</v>
      </c>
      <c r="AG33" s="6">
        <v>38</v>
      </c>
      <c r="AH33" s="6">
        <v>48.5</v>
      </c>
      <c r="AI33" s="64">
        <v>49.5</v>
      </c>
      <c r="AJ33" s="72">
        <v>52</v>
      </c>
      <c r="AK33" s="72">
        <v>45</v>
      </c>
      <c r="AL33" s="72">
        <v>50</v>
      </c>
    </row>
    <row r="34" spans="1:70">
      <c r="A34" s="68" t="s">
        <v>190</v>
      </c>
      <c r="B34" s="71" t="s">
        <v>109</v>
      </c>
      <c r="C34" s="68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I34" s="64">
        <v>0</v>
      </c>
      <c r="AJ34" s="73">
        <v>0</v>
      </c>
      <c r="AK34" s="73">
        <v>0</v>
      </c>
      <c r="AL34" s="73">
        <v>0</v>
      </c>
    </row>
    <row r="35" spans="1:70">
      <c r="A35" s="68" t="s">
        <v>60</v>
      </c>
      <c r="B35" s="71" t="s">
        <v>60</v>
      </c>
      <c r="C35" s="68">
        <v>0.5</v>
      </c>
      <c r="D35" s="6">
        <v>0.5</v>
      </c>
      <c r="E35" s="6">
        <v>2</v>
      </c>
      <c r="F35" s="6">
        <v>3</v>
      </c>
      <c r="G35" s="6">
        <v>1.5</v>
      </c>
      <c r="H35" s="6">
        <v>3</v>
      </c>
      <c r="I35" s="6">
        <v>1.5</v>
      </c>
      <c r="J35" s="6">
        <v>3</v>
      </c>
      <c r="K35" s="6">
        <v>2.5</v>
      </c>
      <c r="L35" s="6">
        <v>2.5</v>
      </c>
      <c r="M35" s="6">
        <v>3</v>
      </c>
      <c r="N35" s="6">
        <v>2.5</v>
      </c>
      <c r="O35" s="6">
        <v>1.5</v>
      </c>
      <c r="P35" s="6">
        <v>2.5</v>
      </c>
      <c r="Q35" s="6">
        <v>4</v>
      </c>
      <c r="R35" s="6">
        <v>4.5</v>
      </c>
      <c r="S35" s="6">
        <v>4</v>
      </c>
      <c r="T35" s="6">
        <v>4.5</v>
      </c>
      <c r="U35" s="6">
        <v>4.5</v>
      </c>
      <c r="V35" s="6">
        <v>4</v>
      </c>
      <c r="W35" s="6">
        <v>4</v>
      </c>
      <c r="X35" s="6">
        <v>7</v>
      </c>
      <c r="Y35" s="6">
        <v>3.5</v>
      </c>
      <c r="Z35" s="6">
        <v>5</v>
      </c>
      <c r="AA35" s="6">
        <v>4.5</v>
      </c>
      <c r="AB35" s="6">
        <v>5</v>
      </c>
      <c r="AC35" s="6">
        <v>3.5</v>
      </c>
      <c r="AD35" s="6">
        <v>7</v>
      </c>
      <c r="AE35" s="6">
        <v>11.5</v>
      </c>
      <c r="AF35" s="6">
        <v>9</v>
      </c>
      <c r="AG35" s="6">
        <v>7.5</v>
      </c>
      <c r="AH35" s="6">
        <v>13.5</v>
      </c>
      <c r="AI35" s="64">
        <v>15</v>
      </c>
      <c r="AJ35" s="72">
        <v>10.5</v>
      </c>
      <c r="AK35" s="72">
        <v>10</v>
      </c>
      <c r="AL35" s="72">
        <v>11.5</v>
      </c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</row>
    <row r="36" spans="1:70">
      <c r="A36" s="68" t="s">
        <v>191</v>
      </c>
      <c r="B36" s="71" t="s">
        <v>61</v>
      </c>
      <c r="C36" s="74"/>
      <c r="D36" s="10"/>
      <c r="E36" s="10"/>
      <c r="F36" s="10"/>
      <c r="G36" s="10"/>
      <c r="H36" s="10"/>
      <c r="I36" s="10"/>
      <c r="J36" s="10"/>
      <c r="K36" s="10"/>
      <c r="L36" s="10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I36" s="64">
        <v>0</v>
      </c>
      <c r="AJ36" s="72">
        <v>0</v>
      </c>
      <c r="AK36" s="72">
        <v>0</v>
      </c>
      <c r="AL36" s="73">
        <v>0</v>
      </c>
    </row>
    <row r="37" spans="1:70">
      <c r="A37" s="68" t="s">
        <v>192</v>
      </c>
      <c r="B37" s="71" t="s">
        <v>62</v>
      </c>
      <c r="C37" s="68">
        <v>8</v>
      </c>
      <c r="D37" s="6">
        <v>2.5</v>
      </c>
      <c r="E37" s="6">
        <v>7.5</v>
      </c>
      <c r="F37" s="6">
        <v>1.5</v>
      </c>
      <c r="G37" s="6">
        <v>5.5</v>
      </c>
      <c r="H37" s="6">
        <v>5</v>
      </c>
      <c r="I37" s="6">
        <v>5.5</v>
      </c>
      <c r="J37" s="6">
        <v>3</v>
      </c>
      <c r="K37" s="6">
        <v>4.5</v>
      </c>
      <c r="L37" s="6">
        <v>2.5</v>
      </c>
      <c r="M37" s="6">
        <v>7</v>
      </c>
      <c r="N37" s="6">
        <v>3.5</v>
      </c>
      <c r="O37" s="6">
        <v>9</v>
      </c>
      <c r="P37" s="6">
        <v>3</v>
      </c>
      <c r="Q37" s="6">
        <v>9</v>
      </c>
      <c r="R37" s="6">
        <v>3</v>
      </c>
      <c r="S37" s="6">
        <v>8.5</v>
      </c>
      <c r="T37" s="6">
        <v>4</v>
      </c>
      <c r="U37" s="6">
        <v>9</v>
      </c>
      <c r="V37" s="6">
        <v>3.5</v>
      </c>
      <c r="W37" s="6">
        <v>12.5</v>
      </c>
      <c r="X37" s="6">
        <v>13</v>
      </c>
      <c r="Y37" s="6">
        <v>18</v>
      </c>
      <c r="Z37" s="6">
        <v>15</v>
      </c>
      <c r="AA37" s="6">
        <v>18.5</v>
      </c>
      <c r="AB37" s="6">
        <v>18</v>
      </c>
      <c r="AC37" s="6">
        <v>18</v>
      </c>
      <c r="AD37" s="6">
        <v>17</v>
      </c>
      <c r="AE37" s="6">
        <v>14</v>
      </c>
      <c r="AF37" s="6">
        <v>19</v>
      </c>
      <c r="AG37" s="6">
        <v>12</v>
      </c>
      <c r="AH37" s="6">
        <v>12</v>
      </c>
      <c r="AI37" s="64">
        <v>45</v>
      </c>
      <c r="AJ37" s="72">
        <v>11</v>
      </c>
      <c r="AK37" s="72">
        <v>17</v>
      </c>
      <c r="AL37" s="73">
        <v>23</v>
      </c>
    </row>
    <row r="38" spans="1:70">
      <c r="A38" s="68" t="s">
        <v>193</v>
      </c>
      <c r="B38" s="71" t="s">
        <v>65</v>
      </c>
      <c r="C38" s="68">
        <v>8</v>
      </c>
      <c r="D38" s="6">
        <v>5</v>
      </c>
      <c r="E38" s="6">
        <v>14</v>
      </c>
      <c r="F38" s="6">
        <v>12.5</v>
      </c>
      <c r="G38" s="6">
        <v>13.5</v>
      </c>
      <c r="H38" s="6">
        <v>14</v>
      </c>
      <c r="I38" s="6">
        <v>23</v>
      </c>
      <c r="J38" s="6">
        <v>14</v>
      </c>
      <c r="K38" s="6">
        <v>21.5</v>
      </c>
      <c r="L38" s="6">
        <v>6.5</v>
      </c>
      <c r="M38" s="6">
        <v>27</v>
      </c>
      <c r="N38" s="6">
        <v>14</v>
      </c>
      <c r="O38" s="6">
        <v>28</v>
      </c>
      <c r="P38" s="6">
        <v>25</v>
      </c>
      <c r="Q38" s="6">
        <v>29</v>
      </c>
      <c r="R38" s="6">
        <v>22</v>
      </c>
      <c r="S38" s="6">
        <v>37</v>
      </c>
      <c r="T38" s="6">
        <v>21.5</v>
      </c>
      <c r="U38" s="6">
        <v>18.5</v>
      </c>
      <c r="V38" s="6">
        <v>17</v>
      </c>
      <c r="W38" s="6">
        <v>27</v>
      </c>
      <c r="X38" s="6">
        <v>19.5</v>
      </c>
      <c r="Y38" s="6">
        <v>21.5</v>
      </c>
      <c r="Z38" s="6">
        <v>19</v>
      </c>
      <c r="AA38" s="6">
        <v>23</v>
      </c>
      <c r="AB38" s="6">
        <v>29.5</v>
      </c>
      <c r="AC38" s="6">
        <v>20</v>
      </c>
      <c r="AD38" s="6">
        <v>21</v>
      </c>
      <c r="AE38" s="6">
        <v>21</v>
      </c>
      <c r="AF38" s="6">
        <v>34.5</v>
      </c>
      <c r="AG38" s="6">
        <v>24.5</v>
      </c>
      <c r="AH38" s="6">
        <v>23.5</v>
      </c>
      <c r="AI38" s="64">
        <v>25.5</v>
      </c>
      <c r="AJ38" s="72">
        <v>25</v>
      </c>
      <c r="AK38" s="72">
        <v>36</v>
      </c>
      <c r="AL38" s="72">
        <v>23.5</v>
      </c>
    </row>
    <row r="39" spans="1:70">
      <c r="A39" s="68" t="s">
        <v>194</v>
      </c>
      <c r="B39" s="71" t="s">
        <v>66</v>
      </c>
      <c r="C39" s="68">
        <v>6</v>
      </c>
      <c r="D39" s="6">
        <v>5</v>
      </c>
      <c r="E39" s="6">
        <v>8</v>
      </c>
      <c r="F39" s="6">
        <v>2</v>
      </c>
      <c r="G39" s="6">
        <v>5</v>
      </c>
      <c r="H39" s="6">
        <v>5</v>
      </c>
      <c r="I39" s="6">
        <v>6.5</v>
      </c>
      <c r="J39" s="6">
        <v>3.5</v>
      </c>
      <c r="K39" s="6">
        <v>7</v>
      </c>
      <c r="L39" s="6">
        <v>5</v>
      </c>
      <c r="M39" s="6">
        <v>6</v>
      </c>
      <c r="N39" s="6">
        <v>5</v>
      </c>
      <c r="O39" s="6">
        <v>6</v>
      </c>
      <c r="P39" s="6">
        <v>7.5</v>
      </c>
      <c r="Q39" s="6">
        <v>6</v>
      </c>
      <c r="R39" s="6">
        <v>5.5</v>
      </c>
      <c r="S39" s="6">
        <v>6</v>
      </c>
      <c r="T39" s="6">
        <v>10.5</v>
      </c>
      <c r="U39" s="6">
        <v>12</v>
      </c>
      <c r="V39" s="6">
        <v>9</v>
      </c>
      <c r="W39" s="6">
        <v>32</v>
      </c>
      <c r="X39" s="6">
        <v>14</v>
      </c>
      <c r="Y39" s="6">
        <v>14</v>
      </c>
      <c r="Z39" s="6">
        <v>16.5</v>
      </c>
      <c r="AA39" s="6">
        <v>21</v>
      </c>
      <c r="AB39" s="6">
        <v>23</v>
      </c>
      <c r="AC39" s="6">
        <v>25</v>
      </c>
      <c r="AD39" s="6">
        <v>17</v>
      </c>
      <c r="AE39" s="6">
        <v>17.5</v>
      </c>
      <c r="AF39" s="6">
        <v>14</v>
      </c>
      <c r="AG39" s="6">
        <v>14</v>
      </c>
      <c r="AH39" s="6">
        <v>18</v>
      </c>
      <c r="AI39" s="64">
        <v>30</v>
      </c>
      <c r="AJ39" s="75">
        <v>16</v>
      </c>
      <c r="AK39" s="73">
        <v>19</v>
      </c>
      <c r="AL39" s="73">
        <v>19.5</v>
      </c>
    </row>
    <row r="40" spans="1:70">
      <c r="A40" s="68" t="s">
        <v>195</v>
      </c>
      <c r="B40" s="71" t="s">
        <v>67</v>
      </c>
      <c r="C40" s="68">
        <v>7</v>
      </c>
      <c r="D40" s="6">
        <v>10</v>
      </c>
      <c r="E40" s="6">
        <v>6</v>
      </c>
      <c r="F40" s="6">
        <v>8</v>
      </c>
      <c r="G40" s="6">
        <v>6.5</v>
      </c>
      <c r="H40" s="6">
        <v>4</v>
      </c>
      <c r="I40" s="6">
        <v>10</v>
      </c>
      <c r="J40" s="6">
        <v>6</v>
      </c>
      <c r="K40" s="6">
        <v>8</v>
      </c>
      <c r="L40" s="6">
        <v>7</v>
      </c>
      <c r="M40" s="6">
        <v>4</v>
      </c>
      <c r="N40" s="6">
        <v>7</v>
      </c>
      <c r="O40" s="6">
        <v>6.5</v>
      </c>
      <c r="P40" s="6">
        <v>12.5</v>
      </c>
      <c r="Q40" s="6">
        <v>12.5</v>
      </c>
      <c r="R40" s="6">
        <v>9</v>
      </c>
      <c r="S40" s="6">
        <v>11</v>
      </c>
      <c r="T40" s="6">
        <v>13</v>
      </c>
      <c r="U40" s="6">
        <v>15</v>
      </c>
      <c r="V40" s="6">
        <v>15</v>
      </c>
      <c r="W40" s="6">
        <v>15</v>
      </c>
      <c r="X40" s="6">
        <v>15</v>
      </c>
      <c r="Y40" s="6">
        <v>15</v>
      </c>
      <c r="Z40" s="6">
        <v>18</v>
      </c>
      <c r="AA40" s="6">
        <v>15.5</v>
      </c>
      <c r="AB40" s="6">
        <v>18</v>
      </c>
      <c r="AC40" s="6">
        <v>16</v>
      </c>
      <c r="AD40" s="6">
        <v>18</v>
      </c>
      <c r="AE40" s="6">
        <v>16</v>
      </c>
      <c r="AF40" s="6">
        <v>17</v>
      </c>
      <c r="AG40" s="6">
        <v>16.5</v>
      </c>
      <c r="AH40" s="6">
        <v>17</v>
      </c>
      <c r="AI40" s="64">
        <v>15.5</v>
      </c>
      <c r="AJ40" s="73">
        <v>15.5</v>
      </c>
      <c r="AK40" s="73">
        <v>16</v>
      </c>
      <c r="AL40" s="73">
        <v>16</v>
      </c>
    </row>
    <row r="41" spans="1:70">
      <c r="A41" s="68" t="s">
        <v>196</v>
      </c>
      <c r="B41" s="71" t="s">
        <v>70</v>
      </c>
      <c r="C41" s="68">
        <v>36</v>
      </c>
      <c r="D41" s="6">
        <v>50</v>
      </c>
      <c r="E41" s="6">
        <v>38</v>
      </c>
      <c r="F41" s="6">
        <v>40</v>
      </c>
      <c r="G41" s="6">
        <v>45</v>
      </c>
      <c r="H41" s="6">
        <v>35</v>
      </c>
      <c r="I41" s="6">
        <v>110</v>
      </c>
      <c r="J41" s="6">
        <v>70</v>
      </c>
      <c r="K41" s="6">
        <v>65</v>
      </c>
      <c r="L41" s="6">
        <v>40</v>
      </c>
      <c r="M41" s="6">
        <v>35</v>
      </c>
      <c r="N41" s="6">
        <v>60</v>
      </c>
      <c r="O41" s="6">
        <v>45</v>
      </c>
      <c r="P41" s="6">
        <v>100</v>
      </c>
      <c r="Q41" s="6">
        <v>50</v>
      </c>
      <c r="R41" s="6">
        <v>75</v>
      </c>
      <c r="S41" s="6">
        <v>75</v>
      </c>
      <c r="T41" s="6">
        <v>85</v>
      </c>
      <c r="U41" s="6">
        <v>85</v>
      </c>
      <c r="V41" s="6">
        <v>140</v>
      </c>
      <c r="W41" s="6">
        <v>130</v>
      </c>
      <c r="X41" s="6">
        <v>120</v>
      </c>
      <c r="Y41" s="6">
        <v>100</v>
      </c>
      <c r="Z41" s="6">
        <v>130</v>
      </c>
      <c r="AA41" s="6">
        <v>120</v>
      </c>
      <c r="AB41" s="6">
        <v>130</v>
      </c>
      <c r="AC41" s="6">
        <v>110</v>
      </c>
      <c r="AD41" s="6">
        <v>140</v>
      </c>
      <c r="AE41" s="6">
        <v>200</v>
      </c>
      <c r="AF41" s="6">
        <v>145</v>
      </c>
      <c r="AG41" s="6">
        <v>160</v>
      </c>
      <c r="AH41" s="6">
        <v>190</v>
      </c>
      <c r="AI41" s="64">
        <v>107</v>
      </c>
      <c r="AJ41" s="72">
        <v>106</v>
      </c>
      <c r="AK41" s="72">
        <v>90</v>
      </c>
      <c r="AL41" s="73">
        <v>160</v>
      </c>
    </row>
    <row r="42" spans="1:70">
      <c r="A42" s="68" t="s">
        <v>69</v>
      </c>
      <c r="B42" s="71" t="s">
        <v>69</v>
      </c>
      <c r="C42" s="68">
        <v>3.5</v>
      </c>
      <c r="D42" s="6">
        <v>2</v>
      </c>
      <c r="E42" s="6">
        <v>1.5</v>
      </c>
      <c r="F42" s="6">
        <v>2</v>
      </c>
      <c r="G42" s="6">
        <v>2.5</v>
      </c>
      <c r="H42" s="6">
        <v>1.5</v>
      </c>
      <c r="I42" s="6">
        <v>0.5</v>
      </c>
      <c r="J42" s="6">
        <v>0.5</v>
      </c>
      <c r="K42" s="6">
        <v>1</v>
      </c>
      <c r="L42" s="6">
        <v>1</v>
      </c>
      <c r="M42" s="6">
        <v>0.5</v>
      </c>
      <c r="N42" s="6">
        <v>0.5</v>
      </c>
      <c r="O42" s="6">
        <v>0.5</v>
      </c>
      <c r="P42" s="6">
        <v>0.5</v>
      </c>
      <c r="Q42" s="6">
        <v>0.5</v>
      </c>
      <c r="R42" s="6">
        <v>0.5</v>
      </c>
      <c r="S42" s="6">
        <v>0.5</v>
      </c>
      <c r="T42" s="6">
        <v>0.5</v>
      </c>
      <c r="U42" s="6">
        <v>0.5</v>
      </c>
      <c r="V42" s="6">
        <v>0.5</v>
      </c>
      <c r="W42" s="6">
        <v>0.5</v>
      </c>
      <c r="X42" s="6">
        <v>0.5</v>
      </c>
      <c r="Y42" s="6">
        <v>0.5</v>
      </c>
      <c r="Z42" s="6">
        <v>0.5</v>
      </c>
      <c r="AA42" s="6">
        <v>0.5</v>
      </c>
      <c r="AB42" s="6">
        <v>0.5</v>
      </c>
      <c r="AC42" s="6">
        <v>0.5</v>
      </c>
      <c r="AD42" s="6">
        <v>0.5</v>
      </c>
      <c r="AE42" s="6">
        <v>0.5</v>
      </c>
      <c r="AF42" s="6">
        <v>0.5</v>
      </c>
      <c r="AG42" s="6">
        <v>0.5</v>
      </c>
      <c r="AH42" s="6">
        <v>0.5</v>
      </c>
      <c r="AI42" s="64">
        <v>0.5</v>
      </c>
      <c r="AJ42" s="73">
        <v>0.5</v>
      </c>
      <c r="AK42" s="73">
        <v>0.5</v>
      </c>
      <c r="AL42" s="73">
        <v>0.5</v>
      </c>
    </row>
    <row r="43" spans="1:70">
      <c r="A43" s="68" t="s">
        <v>110</v>
      </c>
      <c r="B43" s="71" t="s">
        <v>111</v>
      </c>
      <c r="C43" s="68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0</v>
      </c>
      <c r="AI43" s="64">
        <v>0</v>
      </c>
      <c r="AJ43" s="73">
        <v>0</v>
      </c>
      <c r="AK43" s="73">
        <v>0</v>
      </c>
      <c r="AL43" s="73">
        <v>0</v>
      </c>
    </row>
    <row r="44" spans="1:70">
      <c r="A44" s="68" t="s">
        <v>84</v>
      </c>
      <c r="B44" s="71" t="s">
        <v>84</v>
      </c>
      <c r="C44" s="68"/>
      <c r="E44" s="6">
        <v>31</v>
      </c>
      <c r="F44" s="6">
        <v>1</v>
      </c>
      <c r="G44" s="6">
        <v>8</v>
      </c>
      <c r="H44" s="6">
        <v>12</v>
      </c>
      <c r="I44" s="6">
        <v>12</v>
      </c>
      <c r="J44" s="6">
        <v>9</v>
      </c>
      <c r="K44" s="6">
        <v>5.5</v>
      </c>
      <c r="L44" s="6">
        <v>2</v>
      </c>
      <c r="M44" s="6">
        <v>20</v>
      </c>
      <c r="N44" s="6">
        <v>18</v>
      </c>
      <c r="O44" s="6">
        <v>21.5</v>
      </c>
      <c r="P44" s="6">
        <v>5</v>
      </c>
      <c r="Q44" s="6">
        <v>20</v>
      </c>
      <c r="R44" s="6">
        <v>10</v>
      </c>
      <c r="S44" s="6">
        <v>31.5</v>
      </c>
      <c r="T44" s="9">
        <v>8</v>
      </c>
      <c r="U44" s="9">
        <v>20</v>
      </c>
      <c r="V44" s="9">
        <v>5.5</v>
      </c>
      <c r="W44" s="9">
        <v>25</v>
      </c>
      <c r="X44" s="9">
        <v>15.5</v>
      </c>
      <c r="Y44" s="9">
        <v>15.5</v>
      </c>
      <c r="Z44" s="9">
        <v>17.5</v>
      </c>
      <c r="AA44" s="9">
        <v>24.5</v>
      </c>
      <c r="AB44" s="6">
        <v>21</v>
      </c>
      <c r="AC44" s="6">
        <v>20</v>
      </c>
      <c r="AD44" s="6">
        <v>19.5</v>
      </c>
      <c r="AE44" s="6">
        <v>15</v>
      </c>
      <c r="AF44" s="6">
        <v>39.5</v>
      </c>
      <c r="AG44" s="6">
        <v>14.5</v>
      </c>
      <c r="AH44" s="6">
        <v>14.5</v>
      </c>
      <c r="AI44" s="64">
        <v>36</v>
      </c>
      <c r="AJ44" s="72">
        <v>10.5</v>
      </c>
      <c r="AK44" s="72">
        <v>27.5</v>
      </c>
      <c r="AL44" s="72">
        <v>7</v>
      </c>
    </row>
    <row r="45" spans="1:70">
      <c r="A45" s="68" t="s">
        <v>197</v>
      </c>
      <c r="B45" s="71" t="s">
        <v>79</v>
      </c>
      <c r="C45" s="68">
        <v>175</v>
      </c>
      <c r="D45" s="6">
        <v>250</v>
      </c>
      <c r="E45" s="6">
        <v>120</v>
      </c>
      <c r="F45" s="6">
        <v>235</v>
      </c>
      <c r="G45" s="6">
        <v>100</v>
      </c>
      <c r="H45" s="6">
        <v>60</v>
      </c>
      <c r="I45" s="6">
        <v>270</v>
      </c>
      <c r="J45" s="6">
        <v>93</v>
      </c>
      <c r="K45" s="6">
        <v>215</v>
      </c>
      <c r="L45" s="6">
        <v>210</v>
      </c>
      <c r="M45" s="6">
        <v>130</v>
      </c>
      <c r="N45" s="6">
        <v>35</v>
      </c>
      <c r="O45" s="6">
        <v>72</v>
      </c>
      <c r="P45" s="6">
        <v>280</v>
      </c>
      <c r="Q45" s="6">
        <v>130</v>
      </c>
      <c r="R45" s="6">
        <v>220</v>
      </c>
      <c r="S45" s="6">
        <v>160</v>
      </c>
      <c r="T45" s="6">
        <v>170</v>
      </c>
      <c r="U45" s="6">
        <v>160</v>
      </c>
      <c r="V45" s="6">
        <v>150</v>
      </c>
      <c r="W45" s="6">
        <v>120</v>
      </c>
      <c r="X45" s="6">
        <v>182</v>
      </c>
      <c r="Y45" s="6">
        <v>220</v>
      </c>
      <c r="Z45" s="6">
        <v>70</v>
      </c>
      <c r="AA45" s="6">
        <v>340</v>
      </c>
      <c r="AB45" s="6">
        <v>140</v>
      </c>
      <c r="AC45" s="6">
        <v>100</v>
      </c>
      <c r="AD45" s="6">
        <v>325</v>
      </c>
      <c r="AE45" s="6">
        <v>140</v>
      </c>
      <c r="AF45" s="6">
        <v>440</v>
      </c>
      <c r="AG45" s="6">
        <v>140</v>
      </c>
      <c r="AH45" s="6">
        <v>240</v>
      </c>
      <c r="AI45" s="64">
        <v>217</v>
      </c>
      <c r="AJ45" s="72">
        <v>220</v>
      </c>
      <c r="AK45" s="72">
        <v>340</v>
      </c>
      <c r="AL45" s="73">
        <v>450</v>
      </c>
    </row>
    <row r="46" spans="1:70">
      <c r="A46" s="68" t="s">
        <v>198</v>
      </c>
      <c r="B46" s="71" t="s">
        <v>80</v>
      </c>
      <c r="C46" s="68">
        <v>80</v>
      </c>
      <c r="D46" s="6">
        <v>60</v>
      </c>
      <c r="E46" s="6">
        <v>56</v>
      </c>
      <c r="F46" s="6">
        <v>48</v>
      </c>
      <c r="G46" s="6">
        <v>160</v>
      </c>
      <c r="H46" s="6">
        <v>40</v>
      </c>
      <c r="I46" s="6">
        <v>200</v>
      </c>
      <c r="J46" s="6">
        <v>40</v>
      </c>
      <c r="K46" s="6">
        <v>170</v>
      </c>
      <c r="L46" s="6">
        <v>70</v>
      </c>
      <c r="M46" s="6">
        <v>175</v>
      </c>
      <c r="N46" s="6">
        <v>65</v>
      </c>
      <c r="O46" s="6">
        <v>140</v>
      </c>
      <c r="P46" s="6">
        <v>79</v>
      </c>
      <c r="Q46" s="6">
        <v>145</v>
      </c>
      <c r="R46" s="6">
        <v>112</v>
      </c>
      <c r="S46" s="6">
        <v>165</v>
      </c>
      <c r="T46" s="9">
        <v>72</v>
      </c>
      <c r="U46" s="9">
        <v>130</v>
      </c>
      <c r="V46" s="9">
        <v>147</v>
      </c>
      <c r="W46" s="9">
        <v>160</v>
      </c>
      <c r="X46" s="9">
        <v>191</v>
      </c>
      <c r="Y46" s="9">
        <v>195</v>
      </c>
      <c r="Z46" s="9">
        <v>135</v>
      </c>
      <c r="AA46" s="9">
        <v>160</v>
      </c>
      <c r="AB46" s="6">
        <v>150</v>
      </c>
      <c r="AC46" s="6">
        <v>178</v>
      </c>
      <c r="AD46" s="6">
        <v>263</v>
      </c>
      <c r="AE46" s="6">
        <v>193.5</v>
      </c>
      <c r="AF46" s="6">
        <v>230</v>
      </c>
      <c r="AG46" s="6">
        <v>193.5</v>
      </c>
      <c r="AH46" s="6">
        <v>235</v>
      </c>
      <c r="AI46" s="64">
        <v>451</v>
      </c>
      <c r="AJ46" s="72">
        <v>215</v>
      </c>
      <c r="AK46" s="72">
        <v>505</v>
      </c>
      <c r="AL46" s="72">
        <v>290</v>
      </c>
    </row>
    <row r="47" spans="1:70">
      <c r="A47" s="68" t="s">
        <v>199</v>
      </c>
      <c r="B47" s="71" t="s">
        <v>57</v>
      </c>
      <c r="C47" s="68">
        <v>994</v>
      </c>
      <c r="D47" s="6">
        <v>1719</v>
      </c>
      <c r="E47" s="6">
        <v>1391.5</v>
      </c>
      <c r="F47" s="6">
        <v>1359.5</v>
      </c>
      <c r="G47" s="6">
        <v>1371</v>
      </c>
      <c r="H47" s="6">
        <v>1403.5</v>
      </c>
      <c r="I47" s="6">
        <v>1754.5</v>
      </c>
      <c r="J47" s="6">
        <v>2116.5</v>
      </c>
      <c r="K47" s="6">
        <v>1707</v>
      </c>
      <c r="L47" s="6">
        <v>1878.5</v>
      </c>
      <c r="M47" s="6">
        <v>1940.5</v>
      </c>
      <c r="N47" s="6">
        <v>2463.5</v>
      </c>
      <c r="O47" s="6">
        <v>1942.5</v>
      </c>
      <c r="P47" s="6">
        <v>2448</v>
      </c>
      <c r="Q47" s="6">
        <v>2357</v>
      </c>
      <c r="R47" s="6">
        <v>1928.5</v>
      </c>
      <c r="S47" s="6">
        <v>2031</v>
      </c>
      <c r="T47" s="6">
        <v>2118.5</v>
      </c>
      <c r="U47" s="6">
        <v>1939</v>
      </c>
      <c r="V47" s="6">
        <v>2224.5</v>
      </c>
      <c r="W47" s="6">
        <v>2209</v>
      </c>
      <c r="X47" s="6">
        <v>2395</v>
      </c>
      <c r="Y47" s="6">
        <v>1461.5</v>
      </c>
      <c r="Z47" s="6">
        <v>2482.5</v>
      </c>
      <c r="AA47" s="6">
        <v>1434.5</v>
      </c>
      <c r="AB47" s="6">
        <v>2324</v>
      </c>
      <c r="AC47" s="6">
        <v>1752</v>
      </c>
      <c r="AD47" s="6">
        <v>2188.5</v>
      </c>
      <c r="AE47" s="6">
        <v>2263.5</v>
      </c>
      <c r="AF47" s="6">
        <v>1920</v>
      </c>
      <c r="AG47" s="6">
        <v>2051</v>
      </c>
      <c r="AH47" s="6">
        <v>2271.5</v>
      </c>
      <c r="AI47" s="64">
        <v>1392</v>
      </c>
      <c r="AJ47" s="76">
        <v>1549</v>
      </c>
      <c r="AK47" s="76">
        <v>2110</v>
      </c>
      <c r="AL47" s="76">
        <v>2056</v>
      </c>
    </row>
    <row r="48" spans="1:70">
      <c r="A48" s="68" t="s">
        <v>103</v>
      </c>
      <c r="B48" s="71" t="s">
        <v>103</v>
      </c>
      <c r="C48" s="68"/>
      <c r="T48" s="6"/>
      <c r="U48" s="6"/>
      <c r="V48" s="6"/>
      <c r="W48" s="6"/>
      <c r="X48" s="6"/>
      <c r="Y48" s="6"/>
      <c r="Z48" s="6">
        <v>0.5</v>
      </c>
      <c r="AA48" s="6">
        <v>0.5</v>
      </c>
      <c r="AB48" s="6">
        <v>0.5</v>
      </c>
      <c r="AC48" s="6">
        <v>0.5</v>
      </c>
      <c r="AD48" s="6">
        <v>1</v>
      </c>
      <c r="AE48" s="6">
        <v>0.5</v>
      </c>
      <c r="AF48" s="6">
        <v>2.5</v>
      </c>
      <c r="AG48" s="6">
        <v>0.5</v>
      </c>
      <c r="AH48" s="6">
        <v>1.5</v>
      </c>
      <c r="AI48" s="64">
        <v>1.5</v>
      </c>
      <c r="AJ48" s="72">
        <v>2</v>
      </c>
      <c r="AK48" s="72">
        <v>0.5</v>
      </c>
      <c r="AL48" s="73">
        <v>0.5</v>
      </c>
      <c r="AN48" s="10"/>
      <c r="AO48" s="10"/>
      <c r="AP48" s="10"/>
      <c r="AQ48" s="10"/>
      <c r="AR48" s="10"/>
      <c r="AS48" s="10"/>
      <c r="AT48" s="10"/>
      <c r="AU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</row>
    <row r="49" spans="1:70" s="80" customFormat="1" ht="15.6">
      <c r="A49" s="68"/>
      <c r="B49" s="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8"/>
      <c r="AK49" s="79"/>
      <c r="AL49" s="79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</row>
    <row r="50" spans="1:70" ht="15.6">
      <c r="A50" s="81" t="s">
        <v>200</v>
      </c>
      <c r="B50" s="82"/>
      <c r="C50" s="34">
        <f>SUM(C25:C47)</f>
        <v>1334.5</v>
      </c>
      <c r="D50" s="35">
        <f>SUM(D25:D47)</f>
        <v>2152.5</v>
      </c>
      <c r="E50" s="35">
        <f>SUM(E25:E47)</f>
        <v>1716.5</v>
      </c>
      <c r="F50" s="35">
        <f>SUM(F25:F47)</f>
        <v>1745.5</v>
      </c>
      <c r="G50" s="35">
        <f>SUM(G25:G47)</f>
        <v>1745.5</v>
      </c>
      <c r="H50" s="35">
        <f>SUM(H26:H47)</f>
        <v>1650.5</v>
      </c>
      <c r="I50" s="35">
        <f t="shared" ref="I50:Y50" si="0">SUM(I25:I47)</f>
        <v>2458</v>
      </c>
      <c r="J50" s="35">
        <f t="shared" si="0"/>
        <v>2385.5</v>
      </c>
      <c r="K50" s="35">
        <f t="shared" si="0"/>
        <v>2276</v>
      </c>
      <c r="L50" s="35">
        <f t="shared" si="0"/>
        <v>2284.5</v>
      </c>
      <c r="M50" s="35">
        <f t="shared" si="0"/>
        <v>2390</v>
      </c>
      <c r="N50" s="35">
        <f t="shared" si="0"/>
        <v>2722.5</v>
      </c>
      <c r="O50" s="35">
        <f t="shared" si="0"/>
        <v>2317.5</v>
      </c>
      <c r="P50" s="35">
        <f t="shared" si="0"/>
        <v>3051</v>
      </c>
      <c r="Q50" s="35">
        <f t="shared" si="0"/>
        <v>2822</v>
      </c>
      <c r="R50" s="35">
        <f t="shared" si="0"/>
        <v>2452.5</v>
      </c>
      <c r="S50" s="35">
        <f t="shared" si="0"/>
        <v>2580.5</v>
      </c>
      <c r="T50" s="35">
        <f t="shared" si="0"/>
        <v>2574.5</v>
      </c>
      <c r="U50" s="35">
        <f t="shared" si="0"/>
        <v>2495</v>
      </c>
      <c r="V50" s="35">
        <f t="shared" si="0"/>
        <v>2772.5</v>
      </c>
      <c r="W50" s="35">
        <f t="shared" si="0"/>
        <v>2839</v>
      </c>
      <c r="X50" s="35">
        <f t="shared" si="0"/>
        <v>3064</v>
      </c>
      <c r="Y50" s="35">
        <f t="shared" si="0"/>
        <v>2180</v>
      </c>
      <c r="Z50" s="35">
        <f>SUM(Z25:Z48)</f>
        <v>3014</v>
      </c>
      <c r="AA50" s="35">
        <f>SUM(AA25:AA48)</f>
        <v>2290</v>
      </c>
      <c r="AB50" s="35">
        <f>SUM(AB25:AB48)</f>
        <v>2992</v>
      </c>
      <c r="AC50" s="35">
        <f>SUM(AC25:AC48)</f>
        <v>2372</v>
      </c>
      <c r="AD50" s="35">
        <f>SUM(AD25:AD48)</f>
        <v>3195.5</v>
      </c>
      <c r="AE50" s="35">
        <v>3071.5</v>
      </c>
      <c r="AF50" s="35">
        <v>3078.5</v>
      </c>
      <c r="AG50" s="35">
        <v>2786</v>
      </c>
      <c r="AH50" s="35">
        <v>3234.5</v>
      </c>
      <c r="AI50" s="83">
        <v>2553.5</v>
      </c>
      <c r="AJ50" s="84">
        <f>SUM(AJ25:AJ48)</f>
        <v>2401.5</v>
      </c>
      <c r="AK50" s="84">
        <f>SUM(AK25:AK48)</f>
        <v>3391.5</v>
      </c>
      <c r="AL50" s="84">
        <f>SUM(AL25:AL48)</f>
        <v>3267</v>
      </c>
      <c r="AN50" s="85"/>
      <c r="AO50" s="85"/>
      <c r="AP50" s="85"/>
      <c r="AQ50" s="85"/>
      <c r="AR50" s="85"/>
      <c r="AS50" s="85"/>
      <c r="AT50" s="85"/>
      <c r="AU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</row>
    <row r="51" spans="1:70" ht="15.6" thickBot="1">
      <c r="A51" s="86"/>
      <c r="B51" s="87"/>
      <c r="C51" s="86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90"/>
      <c r="AJ51" s="91"/>
      <c r="AK51" s="91"/>
      <c r="AL51" s="91"/>
    </row>
    <row r="52" spans="1:70">
      <c r="A52" s="68"/>
      <c r="B52" s="71"/>
      <c r="C52" s="68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92"/>
      <c r="AJ52" s="79"/>
      <c r="AK52" s="79"/>
      <c r="AL52" s="79"/>
    </row>
    <row r="53" spans="1:70">
      <c r="A53" s="68" t="s">
        <v>185</v>
      </c>
      <c r="B53" s="71" t="s">
        <v>75</v>
      </c>
      <c r="C53" s="68"/>
      <c r="S53" s="6">
        <v>2.5</v>
      </c>
      <c r="T53" s="9">
        <v>3</v>
      </c>
      <c r="U53" s="9">
        <v>3</v>
      </c>
      <c r="V53" s="9">
        <v>3</v>
      </c>
      <c r="W53" s="9">
        <v>3</v>
      </c>
      <c r="X53" s="9">
        <v>3</v>
      </c>
      <c r="Y53" s="9">
        <v>3</v>
      </c>
      <c r="Z53" s="9">
        <v>3</v>
      </c>
      <c r="AA53" s="9">
        <v>3</v>
      </c>
      <c r="AB53" s="9">
        <v>3</v>
      </c>
      <c r="AC53" s="9">
        <v>3</v>
      </c>
      <c r="AD53" s="9">
        <v>3</v>
      </c>
      <c r="AE53" s="9">
        <v>3</v>
      </c>
      <c r="AF53" s="9">
        <v>3</v>
      </c>
      <c r="AG53" s="9">
        <v>3</v>
      </c>
      <c r="AH53" s="9"/>
      <c r="AI53" s="69"/>
      <c r="AJ53" s="70"/>
      <c r="AK53" s="70"/>
      <c r="AL53" s="7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</row>
    <row r="54" spans="1:70">
      <c r="A54" s="68" t="s">
        <v>201</v>
      </c>
      <c r="B54" s="71" t="s">
        <v>51</v>
      </c>
      <c r="C54" s="74"/>
      <c r="D54" s="10"/>
      <c r="E54" s="10"/>
      <c r="F54" s="10"/>
      <c r="G54" s="10"/>
      <c r="H54" s="10"/>
      <c r="I54" s="10"/>
      <c r="J54" s="10"/>
      <c r="K54" s="10">
        <v>0.5</v>
      </c>
      <c r="L54" s="6">
        <v>0.5</v>
      </c>
      <c r="M54" s="6">
        <v>1</v>
      </c>
      <c r="N54" s="6">
        <v>1</v>
      </c>
      <c r="O54" s="6">
        <v>2</v>
      </c>
      <c r="P54" s="6">
        <v>2.5</v>
      </c>
      <c r="Q54" s="6">
        <v>5</v>
      </c>
      <c r="R54" s="6">
        <v>9</v>
      </c>
      <c r="S54" s="6">
        <v>9</v>
      </c>
      <c r="T54" s="9">
        <v>12</v>
      </c>
      <c r="U54" s="9">
        <v>15</v>
      </c>
      <c r="V54" s="9">
        <v>18</v>
      </c>
      <c r="W54" s="9">
        <v>18</v>
      </c>
      <c r="X54" s="9">
        <v>15.5</v>
      </c>
      <c r="Y54" s="9">
        <v>9.5</v>
      </c>
      <c r="Z54" s="9">
        <v>13.5</v>
      </c>
      <c r="AA54" s="9">
        <v>19.5</v>
      </c>
      <c r="AB54" s="9">
        <v>20</v>
      </c>
      <c r="AC54" s="9">
        <v>21</v>
      </c>
      <c r="AD54" s="9">
        <v>21</v>
      </c>
      <c r="AE54" s="9">
        <v>20</v>
      </c>
      <c r="AF54" s="9">
        <v>8.5</v>
      </c>
      <c r="AG54" s="9">
        <v>23</v>
      </c>
      <c r="AH54" s="9">
        <v>19.5</v>
      </c>
      <c r="AI54" s="69">
        <v>17.5</v>
      </c>
      <c r="AJ54" s="93">
        <v>14</v>
      </c>
      <c r="AK54" s="93">
        <v>20.5</v>
      </c>
      <c r="AL54" s="93">
        <v>18.5</v>
      </c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</row>
    <row r="55" spans="1:70">
      <c r="A55" s="68" t="s">
        <v>202</v>
      </c>
      <c r="B55" s="71" t="s">
        <v>52</v>
      </c>
      <c r="C55" s="74"/>
      <c r="D55" s="10"/>
      <c r="E55" s="10"/>
      <c r="F55" s="10"/>
      <c r="G55" s="10"/>
      <c r="H55" s="10"/>
      <c r="I55" s="10"/>
      <c r="J55" s="10"/>
      <c r="K55" s="10"/>
      <c r="L55" s="10"/>
      <c r="AH55" s="9"/>
      <c r="AI55" s="69"/>
      <c r="AJ55" s="70"/>
      <c r="AK55" s="70"/>
      <c r="AL55" s="70"/>
    </row>
    <row r="56" spans="1:70">
      <c r="A56" s="68" t="s">
        <v>53</v>
      </c>
      <c r="B56" s="71" t="s">
        <v>53</v>
      </c>
      <c r="C56" s="68"/>
      <c r="AH56" s="9"/>
      <c r="AI56" s="69"/>
      <c r="AJ56" s="70"/>
      <c r="AK56" s="70"/>
      <c r="AL56" s="7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</row>
    <row r="57" spans="1:70">
      <c r="A57" s="68" t="s">
        <v>203</v>
      </c>
      <c r="B57" s="71" t="s">
        <v>54</v>
      </c>
      <c r="C57" s="74"/>
      <c r="D57" s="10"/>
      <c r="E57" s="10"/>
      <c r="F57" s="10"/>
      <c r="G57" s="10"/>
      <c r="H57" s="10"/>
      <c r="I57" s="10"/>
      <c r="J57" s="10"/>
      <c r="K57" s="10"/>
      <c r="L57" s="10"/>
      <c r="S57" s="6">
        <v>5</v>
      </c>
      <c r="T57" s="9">
        <v>6.5</v>
      </c>
      <c r="U57" s="9">
        <v>8.5</v>
      </c>
      <c r="V57" s="9">
        <v>12</v>
      </c>
      <c r="W57" s="9">
        <v>16</v>
      </c>
      <c r="X57" s="9">
        <v>21.5</v>
      </c>
      <c r="Y57" s="9">
        <v>15</v>
      </c>
      <c r="Z57" s="9">
        <v>15</v>
      </c>
      <c r="AA57" s="9">
        <v>18.5</v>
      </c>
      <c r="AB57" s="9">
        <v>17.5</v>
      </c>
      <c r="AC57" s="9">
        <v>20</v>
      </c>
      <c r="AD57" s="9">
        <v>22</v>
      </c>
      <c r="AE57" s="9">
        <v>18.5</v>
      </c>
      <c r="AF57" s="9">
        <v>22.5</v>
      </c>
      <c r="AG57" s="9">
        <v>25.5</v>
      </c>
      <c r="AH57" s="9">
        <v>16.5</v>
      </c>
      <c r="AI57" s="69">
        <v>21</v>
      </c>
      <c r="AJ57" s="93">
        <v>15</v>
      </c>
      <c r="AK57" s="93">
        <v>20.5</v>
      </c>
      <c r="AL57" s="93">
        <v>22.5</v>
      </c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</row>
    <row r="58" spans="1:70">
      <c r="A58" s="68" t="s">
        <v>96</v>
      </c>
      <c r="B58" s="71" t="s">
        <v>96</v>
      </c>
      <c r="C58" s="74"/>
      <c r="D58" s="10"/>
      <c r="E58" s="10"/>
      <c r="F58" s="10"/>
      <c r="G58" s="10"/>
      <c r="H58" s="10"/>
      <c r="I58" s="10"/>
      <c r="J58" s="10"/>
      <c r="K58" s="10"/>
      <c r="L58" s="10"/>
      <c r="AA58" s="9">
        <v>2.5</v>
      </c>
      <c r="AB58" s="9">
        <v>5</v>
      </c>
      <c r="AC58" s="9">
        <v>5</v>
      </c>
      <c r="AD58" s="9">
        <v>6</v>
      </c>
      <c r="AE58" s="9">
        <v>5.5</v>
      </c>
      <c r="AF58" s="9">
        <v>7</v>
      </c>
      <c r="AG58" s="9">
        <v>7.5</v>
      </c>
      <c r="AH58" s="9">
        <v>8</v>
      </c>
      <c r="AI58" s="69">
        <v>9.5</v>
      </c>
      <c r="AJ58" s="93">
        <v>9</v>
      </c>
      <c r="AK58" s="93">
        <v>9</v>
      </c>
      <c r="AL58" s="93">
        <v>9.5</v>
      </c>
    </row>
    <row r="59" spans="1:70">
      <c r="A59" s="68" t="s">
        <v>204</v>
      </c>
      <c r="B59" s="71" t="s">
        <v>81</v>
      </c>
      <c r="C59" s="68">
        <v>1</v>
      </c>
      <c r="D59" s="6">
        <v>0.5</v>
      </c>
      <c r="E59" s="6">
        <v>1</v>
      </c>
      <c r="F59" s="6">
        <v>4.5</v>
      </c>
      <c r="G59" s="6">
        <v>1</v>
      </c>
      <c r="H59" s="6">
        <v>1</v>
      </c>
      <c r="I59" s="6">
        <v>1</v>
      </c>
      <c r="J59" s="6">
        <v>1</v>
      </c>
      <c r="K59" s="6">
        <v>1</v>
      </c>
      <c r="L59" s="6">
        <v>1</v>
      </c>
      <c r="M59" s="6">
        <v>0.5</v>
      </c>
      <c r="N59" s="6">
        <v>0.5</v>
      </c>
      <c r="O59" s="6">
        <v>1</v>
      </c>
      <c r="P59" s="6">
        <v>1</v>
      </c>
      <c r="Q59" s="6">
        <v>1.5</v>
      </c>
      <c r="R59" s="6">
        <v>1</v>
      </c>
      <c r="S59" s="6">
        <v>1</v>
      </c>
      <c r="T59" s="9">
        <v>2</v>
      </c>
      <c r="U59" s="9">
        <v>3</v>
      </c>
      <c r="V59" s="9">
        <v>3</v>
      </c>
      <c r="W59" s="9">
        <v>4</v>
      </c>
      <c r="X59" s="9">
        <v>4</v>
      </c>
      <c r="Y59" s="9">
        <v>4</v>
      </c>
      <c r="Z59" s="9">
        <v>12</v>
      </c>
      <c r="AA59" s="9">
        <v>5</v>
      </c>
      <c r="AB59" s="9">
        <v>14</v>
      </c>
      <c r="AC59" s="9">
        <v>15</v>
      </c>
      <c r="AD59" s="9">
        <v>16</v>
      </c>
      <c r="AE59" s="9">
        <v>16</v>
      </c>
      <c r="AF59" s="9">
        <v>16</v>
      </c>
      <c r="AG59" s="9">
        <v>16</v>
      </c>
      <c r="AH59" s="9">
        <v>15.5</v>
      </c>
      <c r="AI59" s="69">
        <v>9</v>
      </c>
      <c r="AJ59" s="93">
        <v>12</v>
      </c>
      <c r="AK59" s="93">
        <v>10</v>
      </c>
      <c r="AL59" s="93">
        <v>12</v>
      </c>
    </row>
    <row r="60" spans="1:70">
      <c r="A60" s="68" t="s">
        <v>205</v>
      </c>
      <c r="B60" s="71" t="s">
        <v>64</v>
      </c>
      <c r="C60" s="68"/>
      <c r="AH60" s="9"/>
      <c r="AI60" s="69"/>
      <c r="AJ60" s="70"/>
      <c r="AK60" s="70"/>
      <c r="AL60" s="70"/>
    </row>
    <row r="61" spans="1:70">
      <c r="A61" s="68" t="s">
        <v>206</v>
      </c>
      <c r="B61" s="71" t="s">
        <v>68</v>
      </c>
      <c r="C61" s="68">
        <v>2.5</v>
      </c>
      <c r="D61" s="6">
        <v>2</v>
      </c>
      <c r="E61" s="6">
        <v>2</v>
      </c>
      <c r="F61" s="6">
        <v>3</v>
      </c>
      <c r="G61" s="6">
        <v>2</v>
      </c>
      <c r="H61" s="6">
        <v>2</v>
      </c>
      <c r="I61" s="6">
        <v>2.5</v>
      </c>
      <c r="J61" s="6">
        <v>2</v>
      </c>
      <c r="K61" s="6">
        <v>2.5</v>
      </c>
      <c r="L61" s="6">
        <v>1</v>
      </c>
      <c r="M61" s="6">
        <v>1.5</v>
      </c>
      <c r="N61" s="6">
        <v>2</v>
      </c>
      <c r="O61" s="6">
        <v>2.5</v>
      </c>
      <c r="P61" s="6">
        <v>2.5</v>
      </c>
      <c r="Q61" s="6">
        <v>2.5</v>
      </c>
      <c r="R61" s="6">
        <v>2</v>
      </c>
      <c r="S61" s="6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H61" s="9"/>
      <c r="AI61" s="69"/>
      <c r="AJ61" s="70"/>
      <c r="AK61" s="70"/>
      <c r="AL61" s="70"/>
    </row>
    <row r="62" spans="1:70">
      <c r="A62" s="68" t="s">
        <v>207</v>
      </c>
      <c r="B62" s="71" t="s">
        <v>97</v>
      </c>
      <c r="C62" s="68"/>
      <c r="AH62" s="9"/>
      <c r="AI62" s="69"/>
      <c r="AJ62" s="70"/>
      <c r="AK62" s="70"/>
      <c r="AL62" s="70"/>
    </row>
    <row r="63" spans="1:70">
      <c r="A63" s="68" t="s">
        <v>208</v>
      </c>
      <c r="B63" s="71" t="s">
        <v>74</v>
      </c>
      <c r="C63" s="68"/>
      <c r="AH63" s="9"/>
      <c r="AI63" s="69"/>
      <c r="AJ63" s="70"/>
      <c r="AK63" s="70"/>
      <c r="AL63" s="70"/>
    </row>
    <row r="64" spans="1:70">
      <c r="A64" s="68" t="s">
        <v>209</v>
      </c>
      <c r="B64" s="71" t="s">
        <v>78</v>
      </c>
      <c r="C64" s="68">
        <v>83</v>
      </c>
      <c r="D64" s="6">
        <v>42</v>
      </c>
      <c r="E64" s="6">
        <v>86</v>
      </c>
      <c r="F64" s="6">
        <v>65</v>
      </c>
      <c r="G64" s="6">
        <v>90</v>
      </c>
      <c r="H64" s="6">
        <v>76</v>
      </c>
      <c r="I64" s="6">
        <v>125</v>
      </c>
      <c r="J64" s="6">
        <v>70</v>
      </c>
      <c r="K64" s="6">
        <v>115</v>
      </c>
      <c r="L64" s="6">
        <v>81</v>
      </c>
      <c r="M64" s="6">
        <v>165</v>
      </c>
      <c r="N64" s="6">
        <v>92</v>
      </c>
      <c r="O64" s="6">
        <v>165</v>
      </c>
      <c r="P64" s="6">
        <v>110</v>
      </c>
      <c r="Q64" s="6">
        <v>175</v>
      </c>
      <c r="R64" s="6">
        <v>100</v>
      </c>
      <c r="S64" s="6">
        <v>154</v>
      </c>
      <c r="T64" s="6">
        <v>100</v>
      </c>
      <c r="U64" s="6">
        <v>130</v>
      </c>
      <c r="V64" s="6">
        <v>150</v>
      </c>
      <c r="W64" s="6">
        <v>180</v>
      </c>
      <c r="X64" s="6">
        <v>198</v>
      </c>
      <c r="Y64" s="6">
        <v>175</v>
      </c>
      <c r="Z64" s="6">
        <v>180</v>
      </c>
      <c r="AA64" s="6">
        <v>105</v>
      </c>
      <c r="AB64" s="6">
        <v>110</v>
      </c>
      <c r="AC64" s="6">
        <v>110</v>
      </c>
      <c r="AD64" s="6">
        <v>100</v>
      </c>
      <c r="AE64" s="9">
        <v>154</v>
      </c>
      <c r="AF64" s="9">
        <v>118</v>
      </c>
      <c r="AG64" s="9">
        <v>143</v>
      </c>
      <c r="AH64" s="9">
        <v>105</v>
      </c>
      <c r="AI64" s="69">
        <v>134</v>
      </c>
      <c r="AJ64" s="93">
        <v>122</v>
      </c>
      <c r="AK64" s="93">
        <v>105</v>
      </c>
      <c r="AL64" s="93">
        <v>95</v>
      </c>
    </row>
    <row r="65" spans="1:70">
      <c r="A65" s="68" t="s">
        <v>210</v>
      </c>
      <c r="B65" s="71" t="s">
        <v>77</v>
      </c>
      <c r="C65" s="68"/>
      <c r="X65" s="6"/>
      <c r="Y65" s="6"/>
      <c r="Z65" s="6"/>
      <c r="AA65" s="6"/>
      <c r="AB65" s="6"/>
      <c r="AC65" s="6"/>
      <c r="AD65" s="6"/>
      <c r="AH65" s="9"/>
      <c r="AI65" s="69"/>
      <c r="AJ65" s="70"/>
      <c r="AK65" s="70"/>
      <c r="AL65" s="70"/>
    </row>
    <row r="66" spans="1:70">
      <c r="A66" s="68" t="s">
        <v>211</v>
      </c>
      <c r="B66" s="71" t="s">
        <v>91</v>
      </c>
      <c r="C66" s="68"/>
      <c r="AH66" s="9"/>
      <c r="AI66" s="69"/>
      <c r="AJ66" s="70"/>
      <c r="AK66" s="70"/>
      <c r="AL66" s="70"/>
    </row>
    <row r="67" spans="1:70">
      <c r="A67" s="68" t="s">
        <v>212</v>
      </c>
      <c r="B67" s="71" t="s">
        <v>72</v>
      </c>
      <c r="C67" s="68">
        <v>32</v>
      </c>
      <c r="D67" s="6">
        <v>9</v>
      </c>
      <c r="E67" s="6">
        <v>6</v>
      </c>
      <c r="F67" s="6">
        <v>7</v>
      </c>
      <c r="G67" s="6">
        <v>7</v>
      </c>
      <c r="H67" s="6">
        <v>6</v>
      </c>
      <c r="I67" s="6">
        <v>8.5</v>
      </c>
      <c r="J67" s="6">
        <v>7</v>
      </c>
      <c r="K67" s="6">
        <v>7.5</v>
      </c>
      <c r="L67" s="6">
        <v>6.5</v>
      </c>
      <c r="M67" s="6">
        <v>7.5</v>
      </c>
      <c r="N67" s="6">
        <v>7.5</v>
      </c>
      <c r="O67" s="6">
        <v>7.5</v>
      </c>
      <c r="P67" s="6">
        <v>7</v>
      </c>
      <c r="Q67" s="6">
        <v>7</v>
      </c>
      <c r="R67" s="6">
        <v>8</v>
      </c>
      <c r="S67" s="6">
        <v>15</v>
      </c>
      <c r="T67" s="9">
        <v>15</v>
      </c>
      <c r="U67" s="9">
        <v>15</v>
      </c>
      <c r="V67" s="9">
        <v>15</v>
      </c>
      <c r="W67" s="9">
        <v>15</v>
      </c>
      <c r="X67" s="9">
        <v>15</v>
      </c>
      <c r="Y67" s="9">
        <v>15</v>
      </c>
      <c r="Z67" s="9">
        <v>14.5</v>
      </c>
      <c r="AA67" s="9">
        <v>14.5</v>
      </c>
      <c r="AB67" s="9">
        <v>15</v>
      </c>
      <c r="AC67" s="9">
        <v>15.5</v>
      </c>
      <c r="AD67" s="9">
        <v>15.5</v>
      </c>
      <c r="AE67" s="9">
        <v>15.5</v>
      </c>
      <c r="AF67" s="9">
        <v>15.5</v>
      </c>
      <c r="AG67" s="9">
        <v>15.5</v>
      </c>
      <c r="AH67" s="9">
        <v>15.5</v>
      </c>
      <c r="AI67" s="69">
        <v>15.5</v>
      </c>
      <c r="AJ67" s="93">
        <v>15.5</v>
      </c>
      <c r="AK67" s="93">
        <v>15.5</v>
      </c>
      <c r="AL67" s="93">
        <v>15.5</v>
      </c>
    </row>
    <row r="68" spans="1:70">
      <c r="A68" s="68" t="s">
        <v>213</v>
      </c>
      <c r="B68" s="71" t="s">
        <v>71</v>
      </c>
      <c r="C68" s="68"/>
      <c r="AH68" s="9"/>
      <c r="AI68" s="69"/>
      <c r="AJ68" s="70"/>
      <c r="AK68" s="70"/>
      <c r="AL68" s="70"/>
      <c r="AN68" s="10"/>
      <c r="AO68" s="10"/>
      <c r="AP68" s="10"/>
      <c r="AQ68" s="10"/>
      <c r="AR68" s="10"/>
      <c r="AS68" s="10"/>
      <c r="AT68" s="10"/>
      <c r="AU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</row>
    <row r="69" spans="1:70" s="80" customFormat="1" ht="15.6">
      <c r="A69" s="68"/>
      <c r="B69" s="71"/>
      <c r="C69" s="94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92"/>
      <c r="AJ69" s="79"/>
      <c r="AK69" s="79"/>
      <c r="AL69" s="79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</row>
    <row r="70" spans="1:70" ht="15.6">
      <c r="A70" s="95" t="s">
        <v>214</v>
      </c>
      <c r="B70" s="82"/>
      <c r="C70" s="43">
        <f>SUM(C53:C68)</f>
        <v>118.5</v>
      </c>
      <c r="D70" s="44">
        <f t="shared" ref="D70:J70" si="1">SUM(D53:D68)</f>
        <v>53.5</v>
      </c>
      <c r="E70" s="44">
        <f t="shared" si="1"/>
        <v>95</v>
      </c>
      <c r="F70" s="44">
        <f t="shared" si="1"/>
        <v>79.5</v>
      </c>
      <c r="G70" s="44">
        <f t="shared" si="1"/>
        <v>100</v>
      </c>
      <c r="H70" s="44">
        <f t="shared" si="1"/>
        <v>85</v>
      </c>
      <c r="I70" s="44">
        <f t="shared" si="1"/>
        <v>137</v>
      </c>
      <c r="J70" s="44">
        <f t="shared" si="1"/>
        <v>80</v>
      </c>
      <c r="K70" s="44">
        <f>SUM(K53:K68)</f>
        <v>126.5</v>
      </c>
      <c r="L70" s="44">
        <f>SUM(L53:L68)</f>
        <v>90</v>
      </c>
      <c r="M70" s="44">
        <f t="shared" ref="M70:R70" si="2">SUM(M53:M68)</f>
        <v>175.5</v>
      </c>
      <c r="N70" s="44">
        <f t="shared" si="2"/>
        <v>103</v>
      </c>
      <c r="O70" s="44">
        <f t="shared" si="2"/>
        <v>178</v>
      </c>
      <c r="P70" s="44">
        <f t="shared" si="2"/>
        <v>123</v>
      </c>
      <c r="Q70" s="44">
        <f t="shared" si="2"/>
        <v>191</v>
      </c>
      <c r="R70" s="44">
        <f t="shared" si="2"/>
        <v>120</v>
      </c>
      <c r="S70" s="44">
        <f>SUM(S53:S68)</f>
        <v>186.5</v>
      </c>
      <c r="T70" s="35">
        <f>SUM(T53:T68)</f>
        <v>138.5</v>
      </c>
      <c r="U70" s="35">
        <f>SUM(U53:U68)</f>
        <v>174.5</v>
      </c>
      <c r="V70" s="35">
        <f t="shared" ref="V70:AB70" si="3">SUM(V53:V67)</f>
        <v>201</v>
      </c>
      <c r="W70" s="35">
        <f t="shared" si="3"/>
        <v>236</v>
      </c>
      <c r="X70" s="35">
        <f t="shared" si="3"/>
        <v>257</v>
      </c>
      <c r="Y70" s="35">
        <f t="shared" si="3"/>
        <v>221.5</v>
      </c>
      <c r="Z70" s="35">
        <f t="shared" si="3"/>
        <v>238</v>
      </c>
      <c r="AA70" s="35">
        <f t="shared" si="3"/>
        <v>168</v>
      </c>
      <c r="AB70" s="35">
        <f t="shared" si="3"/>
        <v>184.5</v>
      </c>
      <c r="AC70" s="35">
        <f>SUM(AC53:AC67)</f>
        <v>189.5</v>
      </c>
      <c r="AD70" s="35">
        <f>SUM(AD53:AD67)</f>
        <v>183.5</v>
      </c>
      <c r="AE70" s="35">
        <v>232.5</v>
      </c>
      <c r="AF70" s="35">
        <v>190.5</v>
      </c>
      <c r="AG70" s="35">
        <v>233.5</v>
      </c>
      <c r="AH70" s="35">
        <v>180</v>
      </c>
      <c r="AI70" s="83">
        <v>206.5</v>
      </c>
      <c r="AJ70" s="84">
        <f>SUM(AJ53:AJ67)</f>
        <v>187.5</v>
      </c>
      <c r="AK70" s="84">
        <f>SUM(AK53:AK67)</f>
        <v>180.5</v>
      </c>
      <c r="AL70" s="84">
        <f>SUM(AL53:AL67)</f>
        <v>173</v>
      </c>
      <c r="AN70" s="85"/>
      <c r="AO70" s="85"/>
      <c r="AP70" s="85"/>
      <c r="AQ70" s="85"/>
      <c r="AR70" s="85"/>
      <c r="AS70" s="85"/>
      <c r="AT70" s="85"/>
      <c r="AU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</row>
    <row r="71" spans="1:70" ht="15.6" thickBot="1">
      <c r="A71" s="86"/>
      <c r="B71" s="87"/>
      <c r="C71" s="86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90"/>
      <c r="AJ71" s="91"/>
      <c r="AK71" s="91"/>
      <c r="AL71" s="91"/>
    </row>
    <row r="72" spans="1:70" ht="15.6">
      <c r="A72" s="68"/>
      <c r="B72" s="71"/>
      <c r="C72" s="66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96"/>
      <c r="U72" s="96"/>
      <c r="V72" s="96"/>
      <c r="W72" s="96"/>
      <c r="X72" s="96"/>
      <c r="Y72" s="96"/>
      <c r="Z72" s="96"/>
      <c r="AA72" s="96"/>
      <c r="AB72" s="39"/>
      <c r="AC72" s="39"/>
      <c r="AD72" s="39"/>
      <c r="AE72" s="39"/>
      <c r="AF72" s="39"/>
      <c r="AG72" s="39"/>
      <c r="AH72" s="39"/>
      <c r="AI72" s="45"/>
      <c r="AJ72" s="97"/>
      <c r="AK72" s="97"/>
      <c r="AL72" s="97"/>
    </row>
    <row r="73" spans="1:70" ht="15.6">
      <c r="A73" s="98"/>
      <c r="B73" s="71"/>
      <c r="C73" s="66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96"/>
      <c r="U73" s="96"/>
      <c r="V73" s="96"/>
      <c r="W73" s="96"/>
      <c r="X73" s="96"/>
      <c r="Y73" s="96"/>
      <c r="Z73" s="96"/>
      <c r="AA73" s="96"/>
      <c r="AB73" s="39"/>
      <c r="AC73" s="39"/>
      <c r="AD73" s="39"/>
      <c r="AE73" s="39"/>
      <c r="AF73" s="39"/>
      <c r="AG73" s="39"/>
      <c r="AH73" s="39"/>
      <c r="AI73" s="45"/>
      <c r="AJ73" s="97"/>
      <c r="AK73" s="97"/>
      <c r="AL73" s="97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</row>
    <row r="74" spans="1:70" ht="15.6">
      <c r="A74" s="99" t="s">
        <v>215</v>
      </c>
      <c r="B74" s="100"/>
      <c r="C74" s="43">
        <f t="shared" ref="C74:AD74" si="4">C50+C70</f>
        <v>1453</v>
      </c>
      <c r="D74" s="44">
        <f t="shared" si="4"/>
        <v>2206</v>
      </c>
      <c r="E74" s="44">
        <f t="shared" si="4"/>
        <v>1811.5</v>
      </c>
      <c r="F74" s="44">
        <f t="shared" si="4"/>
        <v>1825</v>
      </c>
      <c r="G74" s="44">
        <f t="shared" si="4"/>
        <v>1845.5</v>
      </c>
      <c r="H74" s="44">
        <f t="shared" si="4"/>
        <v>1735.5</v>
      </c>
      <c r="I74" s="44">
        <f t="shared" si="4"/>
        <v>2595</v>
      </c>
      <c r="J74" s="44">
        <f t="shared" si="4"/>
        <v>2465.5</v>
      </c>
      <c r="K74" s="44">
        <f t="shared" si="4"/>
        <v>2402.5</v>
      </c>
      <c r="L74" s="44">
        <f t="shared" si="4"/>
        <v>2374.5</v>
      </c>
      <c r="M74" s="44">
        <f t="shared" si="4"/>
        <v>2565.5</v>
      </c>
      <c r="N74" s="44">
        <f t="shared" si="4"/>
        <v>2825.5</v>
      </c>
      <c r="O74" s="44">
        <f t="shared" si="4"/>
        <v>2495.5</v>
      </c>
      <c r="P74" s="44">
        <f t="shared" si="4"/>
        <v>3174</v>
      </c>
      <c r="Q74" s="44">
        <f t="shared" si="4"/>
        <v>3013</v>
      </c>
      <c r="R74" s="44">
        <f t="shared" si="4"/>
        <v>2572.5</v>
      </c>
      <c r="S74" s="44">
        <f t="shared" si="4"/>
        <v>2767</v>
      </c>
      <c r="T74" s="35">
        <f t="shared" si="4"/>
        <v>2713</v>
      </c>
      <c r="U74" s="35">
        <f t="shared" si="4"/>
        <v>2669.5</v>
      </c>
      <c r="V74" s="35">
        <f t="shared" si="4"/>
        <v>2973.5</v>
      </c>
      <c r="W74" s="35">
        <f t="shared" si="4"/>
        <v>3075</v>
      </c>
      <c r="X74" s="35">
        <f t="shared" si="4"/>
        <v>3321</v>
      </c>
      <c r="Y74" s="35">
        <f t="shared" si="4"/>
        <v>2401.5</v>
      </c>
      <c r="Z74" s="35">
        <f t="shared" si="4"/>
        <v>3252</v>
      </c>
      <c r="AA74" s="35">
        <f t="shared" si="4"/>
        <v>2458</v>
      </c>
      <c r="AB74" s="39">
        <f t="shared" si="4"/>
        <v>3176.5</v>
      </c>
      <c r="AC74" s="39">
        <f t="shared" si="4"/>
        <v>2561.5</v>
      </c>
      <c r="AD74" s="39">
        <f t="shared" si="4"/>
        <v>3379</v>
      </c>
      <c r="AE74" s="39">
        <v>3304</v>
      </c>
      <c r="AF74" s="39">
        <v>3269</v>
      </c>
      <c r="AG74" s="39">
        <v>3019.5</v>
      </c>
      <c r="AH74" s="39">
        <v>3414.5</v>
      </c>
      <c r="AI74" s="45">
        <v>2760</v>
      </c>
      <c r="AJ74" s="97">
        <f>AJ50+AJ70</f>
        <v>2589</v>
      </c>
      <c r="AK74" s="97">
        <f>AK50+AK70</f>
        <v>3572</v>
      </c>
      <c r="AL74" s="97">
        <f>AL50+AL70</f>
        <v>3440</v>
      </c>
    </row>
    <row r="75" spans="1:70" ht="16.2" thickBot="1">
      <c r="A75" s="101"/>
      <c r="B75" s="87"/>
      <c r="C75" s="101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89"/>
      <c r="U75" s="89"/>
      <c r="V75" s="89"/>
      <c r="W75" s="89"/>
      <c r="X75" s="89"/>
      <c r="Y75" s="89"/>
      <c r="Z75" s="89"/>
      <c r="AA75" s="89"/>
      <c r="AB75" s="52"/>
      <c r="AC75" s="52"/>
      <c r="AD75" s="52"/>
      <c r="AE75" s="52"/>
      <c r="AF75" s="52"/>
      <c r="AG75" s="52"/>
      <c r="AH75" s="52"/>
      <c r="AI75" s="103"/>
      <c r="AJ75" s="104"/>
      <c r="AK75" s="104"/>
      <c r="AL75" s="104"/>
    </row>
    <row r="76" spans="1:70">
      <c r="A76" s="11"/>
      <c r="B76" s="105"/>
    </row>
    <row r="77" spans="1:70" ht="54.6" customHeight="1">
      <c r="A77" s="106" t="s">
        <v>216</v>
      </c>
      <c r="B77" s="107" t="s">
        <v>217</v>
      </c>
      <c r="S77" s="1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  <c r="AF77" s="108"/>
      <c r="AG77" s="108"/>
    </row>
    <row r="78" spans="1:70" ht="31.2" customHeight="1">
      <c r="A78" s="109" t="s">
        <v>218</v>
      </c>
      <c r="B78" s="110" t="s">
        <v>219</v>
      </c>
    </row>
    <row r="79" spans="1:70">
      <c r="A79" s="111" t="s">
        <v>220</v>
      </c>
      <c r="B79" s="111" t="s">
        <v>221</v>
      </c>
    </row>
    <row r="89" spans="1:70"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AN89" s="10"/>
      <c r="AO89" s="10"/>
      <c r="AP89" s="10"/>
      <c r="AQ89" s="10"/>
      <c r="AR89" s="10"/>
      <c r="AS89" s="10"/>
      <c r="AT89" s="10"/>
      <c r="AU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</row>
    <row r="90" spans="1:70">
      <c r="AL90" s="10"/>
    </row>
    <row r="91" spans="1:70">
      <c r="A91" s="10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AL91" s="85"/>
      <c r="AN91" s="85"/>
      <c r="AO91" s="85"/>
      <c r="AP91" s="85"/>
      <c r="AQ91" s="85"/>
      <c r="AR91" s="85"/>
      <c r="AS91" s="85"/>
      <c r="AT91" s="85"/>
      <c r="AU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</row>
    <row r="92" spans="1:70">
      <c r="A92" s="85"/>
    </row>
    <row r="95" spans="1:70"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</row>
    <row r="99" spans="1:70"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</row>
    <row r="102" spans="1:70"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</row>
    <row r="105" spans="1:70"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AN105" s="10"/>
      <c r="AO105" s="10"/>
      <c r="AP105" s="10"/>
      <c r="AQ105" s="10"/>
      <c r="AR105" s="10"/>
      <c r="AS105" s="10"/>
      <c r="AT105" s="10"/>
      <c r="AU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</row>
    <row r="106" spans="1:70">
      <c r="AL106" s="10"/>
    </row>
    <row r="107" spans="1:70">
      <c r="A107" s="10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AL107" s="85"/>
      <c r="AN107" s="85"/>
      <c r="AO107" s="85"/>
      <c r="AP107" s="85"/>
      <c r="AQ107" s="85"/>
      <c r="AR107" s="85"/>
      <c r="AS107" s="85"/>
      <c r="AT107" s="85"/>
      <c r="AU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</row>
    <row r="108" spans="1:70">
      <c r="A108" s="85"/>
    </row>
    <row r="115" spans="1:70"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AN115" s="10"/>
      <c r="AO115" s="10"/>
      <c r="AP115" s="10"/>
      <c r="AQ115" s="10"/>
      <c r="AR115" s="10"/>
      <c r="AS115" s="10"/>
      <c r="AT115" s="10"/>
      <c r="AU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</row>
    <row r="116" spans="1:70">
      <c r="AL116" s="10"/>
    </row>
    <row r="117" spans="1:70">
      <c r="A117" s="10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AL117" s="85"/>
      <c r="AN117" s="85"/>
      <c r="AO117" s="85"/>
      <c r="AP117" s="85"/>
      <c r="AQ117" s="85"/>
      <c r="AR117" s="85"/>
      <c r="AS117" s="85"/>
      <c r="AT117" s="85"/>
      <c r="AU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</row>
    <row r="118" spans="1:70">
      <c r="A118" s="85"/>
    </row>
    <row r="120" spans="1:70" ht="15.6"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</row>
    <row r="121" spans="1:70" ht="15.6">
      <c r="A121" s="18"/>
      <c r="B121" s="17"/>
      <c r="AH121" s="18"/>
      <c r="AI121" s="18"/>
      <c r="AJ121" s="18"/>
    </row>
    <row r="123" spans="1:70">
      <c r="AL123" s="10"/>
    </row>
    <row r="124" spans="1:70">
      <c r="A124" s="10"/>
      <c r="AL124" s="10"/>
    </row>
    <row r="125" spans="1:70">
      <c r="A125" s="10"/>
    </row>
    <row r="126" spans="1:70">
      <c r="AL126" s="10"/>
    </row>
    <row r="127" spans="1:70">
      <c r="A127" s="10"/>
      <c r="AL127" s="10"/>
    </row>
    <row r="128" spans="1:70">
      <c r="A128" s="10"/>
      <c r="C128" s="85"/>
      <c r="D128" s="85"/>
      <c r="G128" s="85"/>
      <c r="H128" s="85"/>
      <c r="I128" s="85"/>
      <c r="AL128" s="85"/>
      <c r="AN128" s="85"/>
      <c r="AO128" s="85"/>
      <c r="AP128" s="85"/>
      <c r="AQ128" s="85"/>
      <c r="AR128" s="85"/>
      <c r="AS128" s="85"/>
      <c r="AT128" s="85"/>
      <c r="AU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N128" s="85"/>
      <c r="BO128" s="85"/>
      <c r="BP128" s="85"/>
    </row>
    <row r="129" spans="1:63">
      <c r="A129" s="85"/>
      <c r="AL129" s="10"/>
    </row>
    <row r="130" spans="1:63">
      <c r="A130" s="10"/>
    </row>
    <row r="131" spans="1:63">
      <c r="AL131" s="10"/>
    </row>
    <row r="132" spans="1:63">
      <c r="A132" s="10"/>
    </row>
    <row r="138" spans="1:63">
      <c r="AL138" s="10"/>
    </row>
    <row r="139" spans="1:63">
      <c r="A139" s="10"/>
    </row>
    <row r="140" spans="1:63">
      <c r="C140" s="85"/>
      <c r="D140" s="85"/>
      <c r="AL140" s="85"/>
      <c r="AN140" s="85"/>
      <c r="AO140" s="85"/>
      <c r="AP140" s="85"/>
      <c r="AQ140" s="85"/>
      <c r="AR140" s="85"/>
      <c r="AS140" s="85"/>
      <c r="AT140" s="85"/>
      <c r="AU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</row>
    <row r="141" spans="1:63">
      <c r="A141" s="85"/>
      <c r="C141" s="9"/>
      <c r="D141" s="9"/>
      <c r="AO141" s="9"/>
      <c r="AP141" s="9"/>
      <c r="AQ141" s="9"/>
      <c r="AR141" s="9"/>
      <c r="AS141" s="9"/>
      <c r="AT141" s="9"/>
      <c r="AU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</row>
    <row r="142" spans="1:63">
      <c r="C142" s="9"/>
      <c r="D142" s="9"/>
      <c r="BJ142" s="9"/>
      <c r="BK142" s="9"/>
    </row>
    <row r="143" spans="1:63">
      <c r="C143" s="85"/>
      <c r="D143" s="85"/>
      <c r="AL143" s="85"/>
      <c r="AN143" s="85"/>
      <c r="AO143" s="85"/>
      <c r="AP143" s="85"/>
      <c r="AQ143" s="85"/>
      <c r="AR143" s="85"/>
      <c r="AS143" s="85"/>
      <c r="AT143" s="85"/>
      <c r="AU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</row>
    <row r="144" spans="1:63">
      <c r="A144" s="85"/>
    </row>
    <row r="145" spans="1:62">
      <c r="BG145" s="10"/>
      <c r="BH145" s="10"/>
      <c r="BI145" s="10"/>
    </row>
    <row r="148" spans="1:62">
      <c r="C148" s="10"/>
      <c r="BG148" s="10"/>
      <c r="BH148" s="10"/>
      <c r="BI148" s="10"/>
      <c r="BJ148" s="10"/>
    </row>
    <row r="149" spans="1:62">
      <c r="C149" s="10"/>
      <c r="BG149" s="10"/>
      <c r="BH149" s="10"/>
      <c r="BI149" s="10"/>
      <c r="BJ149" s="10"/>
    </row>
    <row r="150" spans="1:62">
      <c r="C150" s="10"/>
      <c r="BG150" s="10"/>
      <c r="BH150" s="10"/>
      <c r="BI150" s="10"/>
      <c r="BJ150" s="10"/>
    </row>
    <row r="151" spans="1:62">
      <c r="C151" s="10"/>
      <c r="BG151" s="10"/>
      <c r="BH151" s="10"/>
      <c r="BI151" s="10"/>
      <c r="BJ151" s="10"/>
    </row>
    <row r="152" spans="1:62">
      <c r="C152" s="10"/>
      <c r="BG152" s="10"/>
      <c r="BH152" s="10"/>
      <c r="BI152" s="10"/>
      <c r="BJ152" s="10"/>
    </row>
    <row r="153" spans="1:62">
      <c r="BG153" s="10"/>
    </row>
    <row r="156" spans="1:62">
      <c r="C156" s="10"/>
      <c r="BG156" s="10"/>
      <c r="BH156" s="10"/>
      <c r="BI156" s="10"/>
      <c r="BJ156" s="10"/>
    </row>
    <row r="157" spans="1:62">
      <c r="C157" s="10"/>
      <c r="BG157" s="10"/>
      <c r="BH157" s="10"/>
      <c r="BI157" s="10"/>
      <c r="BJ157" s="10"/>
    </row>
    <row r="158" spans="1:62">
      <c r="C158" s="10"/>
      <c r="AO158" s="10"/>
      <c r="AP158" s="10"/>
      <c r="AQ158" s="10"/>
      <c r="AR158" s="10"/>
      <c r="AS158" s="10"/>
      <c r="AT158" s="10"/>
      <c r="AU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</row>
    <row r="159" spans="1:62">
      <c r="AL159" s="10"/>
    </row>
    <row r="160" spans="1:62">
      <c r="A160" s="10"/>
      <c r="C160" s="85"/>
      <c r="AL160" s="85"/>
      <c r="AN160" s="85"/>
      <c r="AO160" s="85"/>
      <c r="AP160" s="85"/>
      <c r="AQ160" s="85"/>
      <c r="AR160" s="85"/>
      <c r="AS160" s="85"/>
      <c r="AT160" s="85"/>
      <c r="AU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</row>
    <row r="161" spans="1:60">
      <c r="A161" s="85"/>
    </row>
    <row r="171" spans="1:60">
      <c r="AL171" s="85"/>
      <c r="AN171" s="85"/>
      <c r="AO171" s="85"/>
      <c r="AP171" s="85"/>
      <c r="AQ171" s="85"/>
      <c r="AR171" s="85"/>
      <c r="AS171" s="85"/>
      <c r="AT171" s="85"/>
      <c r="AU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</row>
    <row r="172" spans="1:60">
      <c r="A172" s="85"/>
    </row>
    <row r="173" spans="1:60" ht="16.8">
      <c r="AL173" s="112"/>
    </row>
    <row r="174" spans="1:60" ht="16.8">
      <c r="A174" s="112"/>
      <c r="B174" s="14"/>
      <c r="AL174" s="112"/>
    </row>
    <row r="175" spans="1:60" ht="16.8">
      <c r="A175" s="112"/>
      <c r="B175" s="14"/>
    </row>
    <row r="177" spans="1:70" ht="15.6">
      <c r="AL177" s="18"/>
    </row>
    <row r="178" spans="1:70" ht="15.6">
      <c r="A178" s="18"/>
      <c r="B178" s="17"/>
      <c r="AL178" s="18"/>
    </row>
    <row r="179" spans="1:70" ht="15.6">
      <c r="A179" s="18"/>
      <c r="B179" s="17"/>
      <c r="AL179" s="113"/>
    </row>
    <row r="180" spans="1:70" ht="15.6">
      <c r="A180" s="113"/>
      <c r="B180" s="114"/>
    </row>
    <row r="182" spans="1:70"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AO182" s="9"/>
      <c r="AP182" s="9"/>
      <c r="AQ182" s="9"/>
      <c r="AR182" s="9"/>
      <c r="AS182" s="9"/>
      <c r="AT182" s="9"/>
      <c r="AU182" s="9"/>
      <c r="AV182" s="10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</row>
    <row r="183" spans="1:70">
      <c r="K183" s="9"/>
      <c r="L183" s="9"/>
      <c r="M183" s="9"/>
      <c r="N183" s="9"/>
      <c r="O183" s="9"/>
      <c r="P183" s="9"/>
      <c r="AV183" s="10"/>
      <c r="BR183" s="9"/>
    </row>
    <row r="184" spans="1:70"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BJ184" s="56"/>
      <c r="BK184" s="56"/>
      <c r="BL184" s="56"/>
      <c r="BM184" s="56"/>
      <c r="BN184" s="56"/>
      <c r="BO184" s="56"/>
      <c r="BP184" s="56"/>
      <c r="BQ184" s="56"/>
      <c r="BR184" s="56"/>
    </row>
    <row r="203" spans="1:70"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AN203" s="10"/>
      <c r="AO203" s="10"/>
      <c r="AP203" s="10"/>
      <c r="AQ203" s="10"/>
      <c r="AR203" s="10"/>
      <c r="AS203" s="10"/>
      <c r="AT203" s="10"/>
      <c r="AU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</row>
    <row r="204" spans="1:70">
      <c r="AL204" s="10"/>
    </row>
    <row r="205" spans="1:70">
      <c r="A205" s="10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AL205" s="85"/>
      <c r="AN205" s="85"/>
      <c r="AO205" s="85"/>
      <c r="AP205" s="85"/>
      <c r="AQ205" s="85"/>
      <c r="AR205" s="85"/>
      <c r="AS205" s="85"/>
      <c r="AT205" s="85"/>
      <c r="AU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</row>
    <row r="206" spans="1:70">
      <c r="A206" s="85"/>
    </row>
    <row r="211" spans="1:70">
      <c r="BF211" s="10"/>
    </row>
    <row r="219" spans="1:70"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AN219" s="10"/>
      <c r="AO219" s="10"/>
      <c r="AP219" s="10"/>
      <c r="AQ219" s="10"/>
      <c r="AR219" s="10"/>
      <c r="AS219" s="10"/>
      <c r="AT219" s="10"/>
      <c r="AU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</row>
    <row r="220" spans="1:70">
      <c r="AL220" s="10"/>
    </row>
    <row r="221" spans="1:70">
      <c r="A221" s="10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AL221" s="85"/>
      <c r="AN221" s="85"/>
      <c r="AO221" s="85"/>
      <c r="AP221" s="85"/>
      <c r="AQ221" s="85"/>
      <c r="AR221" s="85"/>
      <c r="AS221" s="85"/>
      <c r="AT221" s="85"/>
      <c r="AU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</row>
    <row r="222" spans="1:70">
      <c r="A222" s="85"/>
    </row>
    <row r="229" spans="1:70"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AN229" s="10"/>
      <c r="AO229" s="10"/>
      <c r="AP229" s="10"/>
      <c r="AQ229" s="10"/>
      <c r="AR229" s="10"/>
      <c r="AS229" s="10"/>
      <c r="AT229" s="10"/>
      <c r="AU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</row>
    <row r="230" spans="1:70">
      <c r="AL230" s="10"/>
    </row>
    <row r="231" spans="1:70">
      <c r="A231" s="10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AL231" s="85"/>
      <c r="AN231" s="85"/>
      <c r="AO231" s="85"/>
      <c r="AP231" s="85"/>
      <c r="AQ231" s="85"/>
      <c r="AR231" s="85"/>
      <c r="AS231" s="85"/>
      <c r="AT231" s="85"/>
      <c r="AU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</row>
    <row r="232" spans="1:70">
      <c r="A232" s="85"/>
    </row>
    <row r="234" spans="1:70" ht="15.6"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</row>
    <row r="235" spans="1:70" ht="15.6">
      <c r="A235" s="18"/>
      <c r="B235" s="17"/>
      <c r="AH235" s="18"/>
      <c r="AI235" s="18"/>
      <c r="AJ235" s="18"/>
    </row>
    <row r="237" spans="1:70">
      <c r="AL237" s="10"/>
    </row>
    <row r="238" spans="1:70">
      <c r="A238" s="10"/>
      <c r="AL238" s="10"/>
    </row>
    <row r="239" spans="1:70">
      <c r="A239" s="10"/>
    </row>
    <row r="240" spans="1:70">
      <c r="AL240" s="10"/>
    </row>
    <row r="241" spans="1:70">
      <c r="A241" s="10"/>
      <c r="AL241" s="10"/>
    </row>
    <row r="242" spans="1:70">
      <c r="A242" s="10"/>
      <c r="E242" s="85"/>
      <c r="G242" s="85"/>
      <c r="H242" s="85"/>
      <c r="I242" s="85"/>
      <c r="AL242" s="85"/>
      <c r="AN242" s="85"/>
      <c r="AO242" s="85"/>
      <c r="AP242" s="85"/>
      <c r="AQ242" s="85"/>
      <c r="AR242" s="85"/>
      <c r="AS242" s="85"/>
      <c r="AT242" s="85"/>
      <c r="AU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L242" s="85"/>
      <c r="BN242" s="85"/>
      <c r="BO242" s="85"/>
      <c r="BP242" s="85"/>
    </row>
    <row r="243" spans="1:70">
      <c r="A243" s="85"/>
    </row>
    <row r="244" spans="1:70" ht="16.8">
      <c r="AL244" s="112"/>
    </row>
    <row r="245" spans="1:70" ht="16.8">
      <c r="A245" s="112"/>
      <c r="B245" s="14"/>
      <c r="AL245" s="112"/>
    </row>
    <row r="246" spans="1:70" ht="16.8">
      <c r="A246" s="112"/>
      <c r="B246" s="14"/>
    </row>
    <row r="247" spans="1:70" ht="15.6">
      <c r="AL247" s="18"/>
    </row>
    <row r="248" spans="1:70" ht="15.6">
      <c r="A248" s="18"/>
      <c r="B248" s="17"/>
      <c r="AL248" s="18"/>
    </row>
    <row r="249" spans="1:70" ht="15.6">
      <c r="A249" s="18"/>
      <c r="B249" s="17"/>
      <c r="AL249" s="18"/>
    </row>
    <row r="250" spans="1:70" ht="15.6">
      <c r="A250" s="18"/>
      <c r="B250" s="17"/>
      <c r="AL250" s="113"/>
    </row>
    <row r="251" spans="1:70" ht="15.6">
      <c r="A251" s="113"/>
      <c r="B251" s="114"/>
    </row>
    <row r="253" spans="1:70"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15"/>
      <c r="O253" s="115"/>
      <c r="P253" s="115"/>
      <c r="AO253" s="9"/>
      <c r="AP253" s="9"/>
      <c r="AQ253" s="9"/>
      <c r="AR253" s="9"/>
      <c r="AS253" s="9"/>
      <c r="AT253" s="9"/>
      <c r="AU253" s="9"/>
      <c r="AV253" s="10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</row>
    <row r="254" spans="1:70">
      <c r="K254" s="9"/>
      <c r="L254" s="9"/>
      <c r="M254" s="9"/>
      <c r="N254" s="9"/>
      <c r="O254" s="9"/>
      <c r="P254" s="9"/>
      <c r="AV254" s="10"/>
      <c r="BR254" s="9"/>
    </row>
    <row r="255" spans="1:70"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116"/>
      <c r="O255" s="116"/>
      <c r="P255" s="116"/>
      <c r="BJ255" s="56"/>
      <c r="BK255" s="56"/>
      <c r="BL255" s="56"/>
      <c r="BM255" s="56"/>
      <c r="BN255" s="56"/>
      <c r="BO255" s="56"/>
      <c r="BP255" s="56"/>
      <c r="BQ255" s="56"/>
      <c r="BR255" s="56"/>
    </row>
    <row r="274" spans="1:70"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AN274" s="10"/>
      <c r="AO274" s="10"/>
      <c r="AP274" s="10"/>
      <c r="AQ274" s="10"/>
      <c r="AR274" s="10"/>
      <c r="AS274" s="10"/>
      <c r="AT274" s="10"/>
      <c r="AU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</row>
    <row r="275" spans="1:70">
      <c r="AL275" s="10"/>
    </row>
    <row r="276" spans="1:70">
      <c r="A276" s="10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AL276" s="85"/>
      <c r="AN276" s="85"/>
      <c r="AO276" s="85"/>
      <c r="AP276" s="85"/>
      <c r="AQ276" s="85"/>
      <c r="AR276" s="85"/>
      <c r="AS276" s="85"/>
      <c r="AT276" s="85"/>
      <c r="AU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</row>
    <row r="277" spans="1:70">
      <c r="A277" s="85"/>
    </row>
    <row r="280" spans="1:70"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</row>
    <row r="284" spans="1:70"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</row>
    <row r="287" spans="1:70"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</row>
    <row r="290" spans="1:70"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AN290" s="10"/>
      <c r="AO290" s="10"/>
      <c r="AP290" s="10"/>
      <c r="AQ290" s="10"/>
      <c r="AR290" s="10"/>
      <c r="AS290" s="10"/>
      <c r="AT290" s="10"/>
      <c r="AU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</row>
    <row r="291" spans="1:70">
      <c r="AL291" s="10"/>
    </row>
    <row r="292" spans="1:70">
      <c r="A292" s="10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AL292" s="85"/>
      <c r="AN292" s="85"/>
      <c r="AO292" s="85"/>
      <c r="AP292" s="85"/>
      <c r="AQ292" s="85"/>
      <c r="AR292" s="85"/>
      <c r="AS292" s="85"/>
      <c r="AT292" s="85"/>
      <c r="AU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</row>
    <row r="293" spans="1:70">
      <c r="A293" s="85"/>
    </row>
    <row r="300" spans="1:70"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AN300" s="10"/>
      <c r="AO300" s="10"/>
      <c r="AP300" s="10"/>
      <c r="AQ300" s="10"/>
      <c r="AR300" s="10"/>
      <c r="AS300" s="10"/>
      <c r="AT300" s="10"/>
      <c r="AU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</row>
    <row r="301" spans="1:70">
      <c r="AL301" s="10"/>
    </row>
    <row r="302" spans="1:70">
      <c r="A302" s="10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AL302" s="85"/>
      <c r="AN302" s="85"/>
      <c r="AO302" s="85"/>
      <c r="AP302" s="85"/>
      <c r="AQ302" s="85"/>
      <c r="AR302" s="85"/>
      <c r="AS302" s="85"/>
      <c r="AT302" s="85"/>
      <c r="AU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</row>
    <row r="303" spans="1:70">
      <c r="A303" s="85"/>
    </row>
    <row r="305" spans="1:70" ht="15.6"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</row>
    <row r="306" spans="1:70" ht="15.6">
      <c r="A306" s="18"/>
      <c r="B306" s="17"/>
      <c r="AH306" s="18"/>
      <c r="AI306" s="18"/>
      <c r="AJ306" s="18"/>
    </row>
    <row r="308" spans="1:70">
      <c r="AL308" s="10"/>
    </row>
    <row r="309" spans="1:70">
      <c r="A309" s="10"/>
      <c r="AL309" s="10"/>
    </row>
    <row r="310" spans="1:70">
      <c r="A310" s="10"/>
      <c r="AL310" s="10"/>
    </row>
    <row r="311" spans="1:70">
      <c r="A311" s="10"/>
      <c r="AL311" s="10"/>
    </row>
    <row r="312" spans="1:70">
      <c r="A312" s="10"/>
      <c r="AL312" s="10"/>
    </row>
    <row r="313" spans="1:70">
      <c r="A313" s="10"/>
    </row>
    <row r="314" spans="1:70">
      <c r="AL314" s="10"/>
    </row>
    <row r="315" spans="1:70">
      <c r="A315" s="10"/>
      <c r="AL315" s="10"/>
    </row>
    <row r="316" spans="1:70">
      <c r="A316" s="10"/>
      <c r="AL316" s="10"/>
    </row>
    <row r="317" spans="1:70">
      <c r="A317" s="10"/>
      <c r="AL317" s="10"/>
    </row>
    <row r="318" spans="1:70">
      <c r="A318" s="10"/>
    </row>
    <row r="319" spans="1:70">
      <c r="AL319" s="10"/>
    </row>
    <row r="320" spans="1:70">
      <c r="A320" s="10"/>
      <c r="AL320" s="10"/>
    </row>
    <row r="321" spans="1:67">
      <c r="A321" s="10"/>
      <c r="AL321" s="10"/>
    </row>
    <row r="322" spans="1:67">
      <c r="A322" s="10"/>
    </row>
    <row r="326" spans="1:67">
      <c r="G326" s="85"/>
      <c r="H326" s="85"/>
      <c r="AL326" s="85"/>
      <c r="AN326" s="85"/>
      <c r="AO326" s="85"/>
      <c r="AP326" s="85"/>
      <c r="AQ326" s="85"/>
      <c r="AR326" s="85"/>
      <c r="AS326" s="85"/>
      <c r="AT326" s="85"/>
      <c r="AU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N326" s="85"/>
      <c r="BO326" s="85"/>
    </row>
    <row r="327" spans="1:67">
      <c r="A327" s="85"/>
      <c r="AL327" s="10"/>
    </row>
    <row r="328" spans="1:67">
      <c r="A328" s="10"/>
    </row>
    <row r="329" spans="1:67">
      <c r="AL329" s="10"/>
    </row>
    <row r="330" spans="1:67">
      <c r="A330" s="10"/>
    </row>
    <row r="336" spans="1:67">
      <c r="AL336" s="10"/>
    </row>
    <row r="337" spans="1:62">
      <c r="A337" s="10"/>
    </row>
    <row r="338" spans="1:62">
      <c r="C338" s="85"/>
      <c r="AL338" s="85"/>
      <c r="AN338" s="85"/>
      <c r="AO338" s="85"/>
      <c r="AP338" s="85"/>
      <c r="AQ338" s="85"/>
      <c r="AR338" s="85"/>
      <c r="AS338" s="85"/>
      <c r="AT338" s="85"/>
      <c r="AU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</row>
    <row r="339" spans="1:62">
      <c r="A339" s="85"/>
      <c r="C339" s="9"/>
      <c r="AO339" s="9"/>
      <c r="AP339" s="9"/>
      <c r="AQ339" s="9"/>
      <c r="AR339" s="9"/>
      <c r="AS339" s="9"/>
      <c r="AT339" s="9"/>
      <c r="AU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</row>
    <row r="340" spans="1:62">
      <c r="C340" s="9"/>
      <c r="BI340" s="9"/>
      <c r="BJ340" s="9"/>
    </row>
    <row r="341" spans="1:62">
      <c r="C341" s="85"/>
      <c r="AL341" s="85"/>
      <c r="AN341" s="85"/>
      <c r="AO341" s="85"/>
      <c r="AP341" s="85"/>
      <c r="AQ341" s="85"/>
      <c r="AR341" s="85"/>
      <c r="AS341" s="85"/>
      <c r="AT341" s="85"/>
      <c r="AU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</row>
    <row r="342" spans="1:62">
      <c r="A342" s="85"/>
    </row>
    <row r="343" spans="1:62">
      <c r="C343" s="10"/>
      <c r="BG343" s="10"/>
      <c r="BH343" s="10"/>
      <c r="BI343" s="10"/>
      <c r="BJ343" s="10"/>
    </row>
    <row r="346" spans="1:62">
      <c r="C346" s="10"/>
      <c r="BG346" s="10"/>
      <c r="BH346" s="10"/>
      <c r="BI346" s="10"/>
      <c r="BJ346" s="10"/>
    </row>
    <row r="347" spans="1:62">
      <c r="C347" s="10"/>
      <c r="BG347" s="10"/>
      <c r="BH347" s="10"/>
      <c r="BI347" s="10"/>
      <c r="BJ347" s="10"/>
    </row>
    <row r="348" spans="1:62">
      <c r="C348" s="10"/>
      <c r="BG348" s="10"/>
      <c r="BH348" s="10"/>
      <c r="BI348" s="10"/>
      <c r="BJ348" s="10"/>
    </row>
    <row r="349" spans="1:62">
      <c r="C349" s="10"/>
      <c r="BG349" s="10"/>
      <c r="BH349" s="10"/>
      <c r="BI349" s="10"/>
      <c r="BJ349" s="10"/>
    </row>
    <row r="350" spans="1:62">
      <c r="C350" s="10"/>
      <c r="BG350" s="10"/>
      <c r="BH350" s="10"/>
      <c r="BI350" s="10"/>
      <c r="BJ350" s="10"/>
    </row>
    <row r="351" spans="1:62">
      <c r="BG351" s="10"/>
    </row>
    <row r="354" spans="1:62">
      <c r="C354" s="10"/>
      <c r="BG354" s="10"/>
      <c r="BH354" s="10"/>
      <c r="BI354" s="10"/>
      <c r="BJ354" s="10"/>
    </row>
    <row r="355" spans="1:62">
      <c r="C355" s="10"/>
      <c r="BG355" s="10"/>
      <c r="BH355" s="10"/>
      <c r="BI355" s="10"/>
      <c r="BJ355" s="10"/>
    </row>
    <row r="356" spans="1:62">
      <c r="C356" s="10"/>
      <c r="AN356" s="10"/>
      <c r="AO356" s="10"/>
      <c r="AP356" s="10"/>
      <c r="AQ356" s="10"/>
      <c r="AR356" s="10"/>
      <c r="AS356" s="10"/>
      <c r="AT356" s="10"/>
      <c r="AU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</row>
    <row r="357" spans="1:62">
      <c r="AL357" s="10"/>
    </row>
    <row r="358" spans="1:62">
      <c r="A358" s="10"/>
      <c r="C358" s="85"/>
      <c r="AL358" s="85"/>
      <c r="AN358" s="85"/>
      <c r="AO358" s="85"/>
      <c r="AP358" s="85"/>
      <c r="AQ358" s="85"/>
      <c r="AR358" s="85"/>
      <c r="AS358" s="85"/>
      <c r="AT358" s="85"/>
      <c r="AU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</row>
    <row r="359" spans="1:62">
      <c r="A359" s="85"/>
    </row>
    <row r="369" spans="1:70">
      <c r="AL369" s="85"/>
      <c r="AN369" s="85"/>
      <c r="AO369" s="85"/>
      <c r="AP369" s="85"/>
      <c r="AQ369" s="85"/>
      <c r="AR369" s="85"/>
      <c r="AS369" s="85"/>
      <c r="AT369" s="85"/>
      <c r="AU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</row>
    <row r="370" spans="1:70">
      <c r="A370" s="85"/>
    </row>
    <row r="371" spans="1:70" ht="16.8">
      <c r="AL371" s="112"/>
    </row>
    <row r="372" spans="1:70" ht="16.8">
      <c r="A372" s="112"/>
      <c r="B372" s="14"/>
      <c r="AL372" s="112"/>
    </row>
    <row r="373" spans="1:70" ht="16.8">
      <c r="A373" s="112"/>
      <c r="B373" s="14"/>
    </row>
    <row r="375" spans="1:70" ht="15.6">
      <c r="AL375" s="18"/>
    </row>
    <row r="376" spans="1:70" ht="15.6">
      <c r="A376" s="18"/>
      <c r="B376" s="17"/>
      <c r="AL376" s="18"/>
    </row>
    <row r="377" spans="1:70" ht="15.6">
      <c r="A377" s="18"/>
      <c r="B377" s="17"/>
      <c r="AL377" s="113"/>
    </row>
    <row r="378" spans="1:70" ht="15.6">
      <c r="A378" s="113"/>
      <c r="B378" s="114"/>
    </row>
    <row r="380" spans="1:70">
      <c r="D380" s="10"/>
      <c r="AV380" s="10"/>
      <c r="AZ380" s="10"/>
      <c r="BK380" s="10"/>
    </row>
    <row r="381" spans="1:70"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AL381" s="85"/>
      <c r="AN381" s="85"/>
      <c r="AO381" s="85"/>
      <c r="AP381" s="85"/>
      <c r="AQ381" s="85"/>
      <c r="AR381" s="85"/>
      <c r="AS381" s="85"/>
      <c r="AT381" s="85"/>
      <c r="AU381" s="85"/>
      <c r="AV381" s="10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</row>
    <row r="382" spans="1:70">
      <c r="A382" s="85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AO382" s="9"/>
      <c r="AP382" s="9"/>
      <c r="AQ382" s="9"/>
      <c r="AR382" s="9"/>
      <c r="AS382" s="9"/>
      <c r="AT382" s="9"/>
      <c r="AU382" s="9"/>
      <c r="AV382" s="10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</row>
    <row r="383" spans="1:70">
      <c r="N383" s="9"/>
      <c r="O383" s="9"/>
      <c r="P383" s="9"/>
      <c r="AN383" s="10"/>
      <c r="AV383" s="10"/>
    </row>
    <row r="384" spans="1:70"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BK384" s="117"/>
      <c r="BL384" s="117"/>
      <c r="BM384" s="117"/>
      <c r="BN384" s="117"/>
      <c r="BO384" s="117"/>
      <c r="BP384" s="117"/>
      <c r="BQ384" s="117"/>
      <c r="BR384" s="117"/>
    </row>
    <row r="402" spans="1:70"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AN402" s="10"/>
      <c r="AO402" s="10"/>
      <c r="AP402" s="10"/>
      <c r="AQ402" s="10"/>
      <c r="AR402" s="10"/>
      <c r="AS402" s="10"/>
      <c r="AT402" s="10"/>
      <c r="AU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</row>
    <row r="403" spans="1:70">
      <c r="AL403" s="10"/>
    </row>
    <row r="404" spans="1:70">
      <c r="A404" s="10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AL404" s="85"/>
      <c r="AN404" s="85"/>
      <c r="AO404" s="85"/>
      <c r="AP404" s="85"/>
      <c r="AQ404" s="85"/>
      <c r="AR404" s="85"/>
      <c r="AS404" s="85"/>
      <c r="AT404" s="85"/>
      <c r="AU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</row>
    <row r="405" spans="1:70">
      <c r="A405" s="85"/>
    </row>
    <row r="418" spans="1:70"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AN418" s="10"/>
      <c r="AO418" s="10"/>
      <c r="AP418" s="10"/>
      <c r="AQ418" s="10"/>
      <c r="AR418" s="10"/>
      <c r="AS418" s="10"/>
      <c r="AT418" s="10"/>
      <c r="AU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</row>
    <row r="419" spans="1:70">
      <c r="AL419" s="10"/>
    </row>
    <row r="420" spans="1:70">
      <c r="A420" s="10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AL420" s="85"/>
      <c r="AN420" s="85"/>
      <c r="AO420" s="85"/>
      <c r="AP420" s="85"/>
      <c r="AQ420" s="85"/>
      <c r="AR420" s="85"/>
      <c r="AS420" s="85"/>
      <c r="AT420" s="85"/>
      <c r="AU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</row>
    <row r="421" spans="1:70">
      <c r="A421" s="85"/>
    </row>
    <row r="428" spans="1:70"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AN428" s="10"/>
      <c r="AO428" s="10"/>
      <c r="AP428" s="10"/>
      <c r="AQ428" s="10"/>
      <c r="AR428" s="10"/>
      <c r="AS428" s="10"/>
      <c r="AT428" s="10"/>
      <c r="AU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</row>
    <row r="429" spans="1:70">
      <c r="AL429" s="10"/>
    </row>
    <row r="430" spans="1:70">
      <c r="A430" s="10"/>
    </row>
    <row r="432" spans="1:70" ht="15.6"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</row>
    <row r="433" spans="1:70" ht="15.6">
      <c r="A433" s="18"/>
      <c r="B433" s="17"/>
      <c r="AH433" s="18"/>
      <c r="AI433" s="18"/>
      <c r="AJ433" s="18"/>
    </row>
    <row r="435" spans="1:70">
      <c r="AL435" s="10"/>
    </row>
    <row r="436" spans="1:70">
      <c r="A436" s="10"/>
      <c r="AL436" s="10"/>
    </row>
    <row r="437" spans="1:70">
      <c r="A437" s="10"/>
    </row>
    <row r="441" spans="1:70">
      <c r="H441" s="85"/>
      <c r="I441" s="85"/>
      <c r="BO441" s="85"/>
      <c r="BP441" s="85"/>
    </row>
    <row r="443" spans="1:70">
      <c r="C443" s="85"/>
      <c r="D443" s="85"/>
      <c r="F443" s="85"/>
      <c r="J443" s="85"/>
      <c r="K443" s="85"/>
      <c r="L443" s="85"/>
      <c r="M443" s="85"/>
      <c r="AL443" s="85"/>
      <c r="AO443" s="85"/>
      <c r="AP443" s="85"/>
      <c r="AQ443" s="85"/>
      <c r="AR443" s="85"/>
      <c r="AS443" s="85"/>
      <c r="AT443" s="85"/>
      <c r="AU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M443" s="85"/>
      <c r="BQ443" s="85"/>
      <c r="BR443" s="85"/>
    </row>
    <row r="444" spans="1:70">
      <c r="A444" s="85"/>
    </row>
    <row r="445" spans="1:70">
      <c r="AL445" s="10"/>
    </row>
    <row r="446" spans="1:70">
      <c r="A446" s="10"/>
    </row>
    <row r="459" spans="41:47">
      <c r="AO459" s="10"/>
      <c r="AU459" s="85"/>
    </row>
    <row r="460" spans="41:47">
      <c r="AU460" s="9"/>
    </row>
    <row r="461" spans="41:47">
      <c r="AO461" s="10"/>
      <c r="AS461" s="85"/>
      <c r="AU461" s="9"/>
    </row>
    <row r="462" spans="41:47">
      <c r="AO462" s="9"/>
      <c r="AQ462" s="85"/>
      <c r="AU462" s="9"/>
    </row>
    <row r="463" spans="41:47">
      <c r="AO463" s="10"/>
      <c r="AU463" s="85"/>
    </row>
    <row r="466" spans="40:47">
      <c r="AN466" s="85"/>
      <c r="AO466" s="85"/>
      <c r="AP466" s="85"/>
      <c r="AQ466" s="85"/>
      <c r="AR466" s="85"/>
      <c r="AS466" s="85"/>
      <c r="AT466" s="85"/>
      <c r="AU466" s="85"/>
    </row>
    <row r="469" spans="40:47">
      <c r="AP469" s="10"/>
      <c r="AQ469" s="10"/>
    </row>
    <row r="470" spans="40:47">
      <c r="AP470" s="10"/>
      <c r="AQ470" s="10"/>
      <c r="AS470" s="10"/>
    </row>
    <row r="471" spans="40:47">
      <c r="AP471" s="10"/>
      <c r="AQ471" s="10"/>
    </row>
    <row r="472" spans="40:47">
      <c r="AP472" s="10"/>
      <c r="AQ472" s="10"/>
    </row>
    <row r="473" spans="40:47">
      <c r="AS473" s="10"/>
    </row>
    <row r="481" spans="1:70">
      <c r="C481" s="85"/>
      <c r="D481" s="85"/>
      <c r="F481" s="85"/>
      <c r="I481" s="85"/>
      <c r="J481" s="85"/>
      <c r="AK481" s="85"/>
      <c r="AL481" s="85"/>
      <c r="AN481" s="85"/>
      <c r="AO481" s="85"/>
      <c r="AP481" s="85"/>
      <c r="AQ481" s="85"/>
      <c r="AR481" s="85"/>
      <c r="AS481" s="85"/>
      <c r="AT481" s="85"/>
      <c r="AU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M481" s="85"/>
      <c r="BP481" s="85"/>
      <c r="BQ481" s="85"/>
    </row>
    <row r="482" spans="1:70">
      <c r="A482" s="85"/>
      <c r="I482" s="10"/>
      <c r="AH482" s="85"/>
      <c r="AI482" s="85"/>
      <c r="AJ482" s="85"/>
      <c r="BP482" s="10"/>
    </row>
    <row r="485" spans="1:70">
      <c r="AL485" s="10"/>
    </row>
    <row r="486" spans="1:70">
      <c r="A486" s="10"/>
    </row>
    <row r="487" spans="1:70" ht="16.8">
      <c r="AL487" s="112"/>
    </row>
    <row r="488" spans="1:70" ht="16.8">
      <c r="A488" s="112"/>
      <c r="B488" s="14"/>
      <c r="AL488" s="112"/>
    </row>
    <row r="489" spans="1:70" ht="16.8">
      <c r="A489" s="112"/>
      <c r="B489" s="14"/>
      <c r="BG489" s="10"/>
    </row>
    <row r="490" spans="1:70" ht="15.6">
      <c r="AL490" s="118"/>
    </row>
    <row r="491" spans="1:70" ht="15.6">
      <c r="A491" s="118"/>
      <c r="B491" s="17"/>
    </row>
    <row r="495" spans="1:70">
      <c r="C495" s="9"/>
      <c r="D495" s="9"/>
      <c r="E495" s="9"/>
      <c r="BJ495" s="9"/>
      <c r="BK495" s="9"/>
      <c r="BL495" s="9"/>
    </row>
    <row r="496" spans="1:70">
      <c r="K496" s="10"/>
      <c r="L496" s="10"/>
      <c r="M496" s="10"/>
      <c r="N496" s="10"/>
      <c r="O496" s="10"/>
      <c r="P496" s="10"/>
      <c r="AN496" s="9"/>
      <c r="AO496" s="9"/>
      <c r="AP496" s="9"/>
      <c r="AQ496" s="9"/>
      <c r="AR496" s="9"/>
      <c r="AS496" s="9"/>
      <c r="AT496" s="9"/>
      <c r="AU496" s="9"/>
      <c r="AV496" s="10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R496" s="10"/>
    </row>
    <row r="497" spans="1:70"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AV497" s="10"/>
      <c r="BJ497" s="56"/>
      <c r="BK497" s="56"/>
      <c r="BL497" s="56"/>
      <c r="BM497" s="56"/>
      <c r="BN497" s="56"/>
      <c r="BO497" s="56"/>
      <c r="BP497" s="56"/>
      <c r="BQ497" s="56"/>
      <c r="BR497" s="56"/>
    </row>
    <row r="498" spans="1:70"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AL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</row>
    <row r="499" spans="1:70">
      <c r="A499" s="85"/>
    </row>
    <row r="503" spans="1:70">
      <c r="O503" s="119"/>
      <c r="P503" s="119"/>
    </row>
    <row r="504" spans="1:70">
      <c r="A504" s="120"/>
      <c r="O504" s="119"/>
      <c r="P504" s="119"/>
    </row>
    <row r="505" spans="1:70">
      <c r="A505" s="120"/>
      <c r="O505" s="119"/>
      <c r="P505" s="119"/>
    </row>
    <row r="506" spans="1:70">
      <c r="A506" s="120"/>
      <c r="O506" s="119"/>
      <c r="P506" s="119"/>
    </row>
    <row r="507" spans="1:70">
      <c r="A507" s="120"/>
      <c r="O507" s="119"/>
      <c r="P507" s="119"/>
    </row>
    <row r="508" spans="1:70" ht="15.6" thickBot="1">
      <c r="A508" s="120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2"/>
      <c r="P508" s="122"/>
    </row>
    <row r="509" spans="1:70" ht="16.2" thickTop="1" thickBot="1">
      <c r="A509" s="123"/>
    </row>
    <row r="510" spans="1:70" ht="15.6" thickTop="1"/>
    <row r="511" spans="1:70">
      <c r="AL511" s="10"/>
    </row>
    <row r="512" spans="1:70">
      <c r="A512" s="10"/>
    </row>
    <row r="513" spans="1:70" ht="15.6">
      <c r="AL513" s="118"/>
    </row>
    <row r="514" spans="1:70" ht="16.2" thickBot="1">
      <c r="A514" s="118"/>
      <c r="B514" s="17"/>
    </row>
    <row r="515" spans="1:70" ht="16.2" thickTop="1" thickBot="1"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5"/>
      <c r="P515" s="125"/>
    </row>
    <row r="516" spans="1:70" ht="15.6" thickTop="1">
      <c r="A516" s="126"/>
      <c r="C516" s="9"/>
      <c r="D516" s="9"/>
      <c r="E516" s="9"/>
      <c r="O516" s="119"/>
      <c r="P516" s="119"/>
      <c r="AN516" s="85"/>
      <c r="AO516" s="85"/>
      <c r="AP516" s="85"/>
      <c r="AQ516" s="85"/>
      <c r="AR516" s="85"/>
      <c r="AS516" s="85"/>
      <c r="AT516" s="85"/>
      <c r="AU516" s="85"/>
      <c r="AV516" s="10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9"/>
      <c r="BK516" s="9"/>
      <c r="BL516" s="9"/>
    </row>
    <row r="517" spans="1:70">
      <c r="A517" s="120"/>
      <c r="K517" s="10"/>
      <c r="L517" s="10"/>
      <c r="M517" s="10"/>
      <c r="N517" s="10"/>
      <c r="O517" s="127"/>
      <c r="P517" s="127"/>
      <c r="AN517" s="9"/>
      <c r="AO517" s="9"/>
      <c r="AP517" s="9"/>
      <c r="AQ517" s="9"/>
      <c r="AR517" s="9"/>
      <c r="AS517" s="9"/>
      <c r="AT517" s="9"/>
      <c r="AU517" s="9"/>
      <c r="AV517" s="10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R517" s="10"/>
    </row>
    <row r="518" spans="1:70">
      <c r="A518" s="120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128"/>
      <c r="P518" s="128"/>
      <c r="AV518" s="10"/>
      <c r="BJ518" s="56"/>
      <c r="BK518" s="56"/>
      <c r="BL518" s="56"/>
      <c r="BM518" s="56"/>
      <c r="BN518" s="56"/>
      <c r="BO518" s="56"/>
      <c r="BP518" s="56"/>
      <c r="BQ518" s="56"/>
      <c r="BR518" s="56"/>
    </row>
    <row r="519" spans="1:70">
      <c r="A519" s="120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129"/>
      <c r="P519" s="129"/>
      <c r="AL519" s="85"/>
      <c r="AN519" s="85"/>
      <c r="AO519" s="85"/>
      <c r="AP519" s="85"/>
      <c r="AQ519" s="85"/>
      <c r="AR519" s="85"/>
      <c r="AS519" s="85"/>
      <c r="AT519" s="85"/>
      <c r="AU519" s="85"/>
      <c r="AV519" s="10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</row>
    <row r="520" spans="1:70">
      <c r="A520" s="130"/>
      <c r="O520" s="119"/>
      <c r="P520" s="119"/>
    </row>
    <row r="521" spans="1:70">
      <c r="A521" s="120"/>
      <c r="O521" s="119"/>
      <c r="P521" s="119"/>
    </row>
    <row r="522" spans="1:70">
      <c r="A522" s="120"/>
      <c r="O522" s="119"/>
      <c r="P522" s="119"/>
    </row>
    <row r="523" spans="1:70">
      <c r="A523" s="120"/>
      <c r="O523" s="119"/>
      <c r="P523" s="119"/>
    </row>
    <row r="524" spans="1:70">
      <c r="A524" s="120"/>
      <c r="O524" s="119"/>
      <c r="P524" s="119"/>
    </row>
    <row r="525" spans="1:70">
      <c r="A525" s="120"/>
      <c r="O525" s="119"/>
      <c r="P525" s="119"/>
    </row>
    <row r="526" spans="1:70">
      <c r="A526" s="120"/>
      <c r="O526" s="119"/>
      <c r="P526" s="119"/>
    </row>
    <row r="527" spans="1:70">
      <c r="A527" s="120"/>
      <c r="O527" s="119"/>
      <c r="P527" s="119"/>
    </row>
    <row r="528" spans="1:70">
      <c r="A528" s="120"/>
      <c r="O528" s="119"/>
      <c r="P528" s="119"/>
    </row>
    <row r="529" spans="1:70" ht="15.6" thickBot="1">
      <c r="A529" s="120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2"/>
      <c r="P529" s="122"/>
    </row>
    <row r="530" spans="1:70" ht="16.2" thickTop="1" thickBot="1">
      <c r="A530" s="123"/>
    </row>
    <row r="531" spans="1:70" ht="15.6" thickTop="1"/>
    <row r="533" spans="1:70">
      <c r="AL533" s="10"/>
    </row>
    <row r="534" spans="1:70">
      <c r="A534" s="10"/>
    </row>
    <row r="536" spans="1:70">
      <c r="AL536" s="10"/>
    </row>
    <row r="537" spans="1:70">
      <c r="A537" s="10"/>
      <c r="C537" s="85"/>
      <c r="D537" s="85"/>
      <c r="E537" s="85"/>
      <c r="F537" s="85"/>
      <c r="G537" s="85"/>
      <c r="AL537" s="85"/>
      <c r="AN537" s="85"/>
      <c r="AO537" s="85"/>
      <c r="AP537" s="85"/>
      <c r="AQ537" s="85"/>
      <c r="AR537" s="85"/>
      <c r="AS537" s="85"/>
      <c r="AT537" s="85"/>
      <c r="AU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</row>
    <row r="538" spans="1:70">
      <c r="A538" s="85"/>
      <c r="C538" s="9"/>
      <c r="D538" s="9"/>
      <c r="E538" s="9"/>
      <c r="F538" s="9"/>
      <c r="AN538" s="9"/>
      <c r="AO538" s="9"/>
      <c r="AP538" s="9"/>
      <c r="AQ538" s="9"/>
      <c r="AR538" s="9"/>
      <c r="AS538" s="9"/>
      <c r="AT538" s="9"/>
      <c r="AU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</row>
    <row r="539" spans="1:70">
      <c r="F539" s="9"/>
      <c r="G539" s="9"/>
      <c r="BM539" s="9"/>
      <c r="BN539" s="9"/>
    </row>
    <row r="540" spans="1:70"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AL540" s="85"/>
      <c r="AN540" s="85"/>
      <c r="AO540" s="85"/>
      <c r="AP540" s="85"/>
      <c r="AQ540" s="85"/>
      <c r="AR540" s="85"/>
      <c r="AS540" s="85"/>
      <c r="AT540" s="85"/>
      <c r="AU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</row>
    <row r="541" spans="1:70">
      <c r="A541" s="85"/>
    </row>
    <row r="543" spans="1:70">
      <c r="AL543" s="10"/>
    </row>
    <row r="544" spans="1:70">
      <c r="A544" s="10"/>
    </row>
    <row r="547" spans="1:38">
      <c r="AL547" s="10"/>
    </row>
    <row r="548" spans="1:38">
      <c r="A548" s="10"/>
    </row>
    <row r="549" spans="1:38">
      <c r="AL549" s="10"/>
    </row>
    <row r="550" spans="1:38">
      <c r="A550" s="10"/>
    </row>
    <row r="564" spans="1:70">
      <c r="AL564" s="10"/>
    </row>
    <row r="565" spans="1:70">
      <c r="A565" s="10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AL565" s="85"/>
      <c r="AN565" s="85"/>
      <c r="AO565" s="85"/>
      <c r="AP565" s="85"/>
      <c r="AQ565" s="85"/>
      <c r="AR565" s="85"/>
      <c r="AS565" s="85"/>
      <c r="AT565" s="85"/>
      <c r="AU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</row>
    <row r="566" spans="1:70">
      <c r="A566" s="85"/>
      <c r="C566" s="9"/>
      <c r="D566" s="9"/>
      <c r="E566" s="9"/>
      <c r="F566" s="9"/>
      <c r="AN566" s="9"/>
      <c r="AO566" s="9"/>
      <c r="AP566" s="9"/>
      <c r="AQ566" s="9"/>
      <c r="AR566" s="9"/>
      <c r="AS566" s="9"/>
      <c r="AT566" s="9"/>
      <c r="AU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</row>
    <row r="568" spans="1:70"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AL568" s="85"/>
      <c r="AN568" s="85"/>
      <c r="AO568" s="85"/>
      <c r="AP568" s="85"/>
      <c r="AQ568" s="85"/>
      <c r="AR568" s="85"/>
      <c r="AS568" s="85"/>
      <c r="AT568" s="85"/>
      <c r="AU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</row>
    <row r="569" spans="1:70">
      <c r="A569" s="85"/>
    </row>
    <row r="571" spans="1:70">
      <c r="AL571" s="10"/>
    </row>
    <row r="572" spans="1:70">
      <c r="A572" s="10"/>
    </row>
    <row r="575" spans="1:70">
      <c r="AL575" s="10"/>
    </row>
    <row r="576" spans="1:70">
      <c r="A576" s="10"/>
    </row>
    <row r="577" spans="1:70">
      <c r="AL577" s="10"/>
    </row>
    <row r="578" spans="1:70">
      <c r="A578" s="10"/>
    </row>
    <row r="587" spans="1:70"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AL587" s="85"/>
      <c r="AN587" s="85"/>
      <c r="AO587" s="85"/>
      <c r="AP587" s="85"/>
      <c r="AQ587" s="85"/>
      <c r="AR587" s="85"/>
      <c r="AS587" s="85"/>
      <c r="AT587" s="85"/>
      <c r="AU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</row>
    <row r="588" spans="1:70">
      <c r="A588" s="85"/>
      <c r="C588" s="9"/>
      <c r="D588" s="9"/>
      <c r="E588" s="9"/>
      <c r="F588" s="9"/>
      <c r="AN588" s="9"/>
      <c r="AO588" s="9"/>
      <c r="AP588" s="9"/>
      <c r="AQ588" s="9"/>
      <c r="AR588" s="9"/>
      <c r="AS588" s="9"/>
      <c r="AT588" s="9"/>
      <c r="AU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</row>
    <row r="589" spans="1:70">
      <c r="J589" s="9"/>
      <c r="K589" s="9"/>
      <c r="L589" s="9"/>
      <c r="M589" s="9"/>
      <c r="N589" s="9"/>
      <c r="O589" s="9"/>
      <c r="P589" s="9"/>
      <c r="BQ589" s="9"/>
      <c r="BR589" s="9"/>
    </row>
    <row r="590" spans="1:70"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AL590" s="85"/>
      <c r="AN590" s="85"/>
      <c r="AO590" s="85"/>
      <c r="AP590" s="85"/>
      <c r="AQ590" s="85"/>
      <c r="AR590" s="85"/>
      <c r="AS590" s="85"/>
      <c r="AT590" s="85"/>
      <c r="AU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</row>
    <row r="591" spans="1:70">
      <c r="A591" s="85"/>
    </row>
    <row r="592" spans="1:70">
      <c r="AL592" s="10"/>
    </row>
    <row r="593" spans="1:38">
      <c r="A593" s="10"/>
    </row>
    <row r="594" spans="1:38">
      <c r="AL594" s="10"/>
    </row>
    <row r="595" spans="1:38">
      <c r="A595" s="10"/>
    </row>
    <row r="598" spans="1:38">
      <c r="AL598" s="10"/>
    </row>
    <row r="599" spans="1:38">
      <c r="A599" s="10"/>
    </row>
    <row r="600" spans="1:38">
      <c r="AL600" s="10"/>
    </row>
    <row r="601" spans="1:38">
      <c r="A601" s="10"/>
    </row>
    <row r="607" spans="1:38">
      <c r="AL607" s="10"/>
    </row>
    <row r="608" spans="1:38">
      <c r="A608" s="10"/>
    </row>
    <row r="610" spans="1:66">
      <c r="C610" s="85"/>
      <c r="D610" s="85"/>
      <c r="E610" s="85"/>
      <c r="F610" s="85"/>
      <c r="G610" s="85"/>
      <c r="AL610" s="85"/>
      <c r="AN610" s="85"/>
      <c r="AO610" s="85"/>
      <c r="AP610" s="85"/>
      <c r="AQ610" s="85"/>
      <c r="AR610" s="85"/>
      <c r="AS610" s="85"/>
      <c r="AT610" s="85"/>
      <c r="AU610" s="85"/>
      <c r="AV610" s="10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</row>
    <row r="611" spans="1:66">
      <c r="A611" s="85"/>
      <c r="C611" s="9"/>
      <c r="D611" s="9"/>
      <c r="E611" s="9"/>
      <c r="F611" s="9"/>
      <c r="G611" s="9"/>
      <c r="AN611" s="9"/>
      <c r="AO611" s="9"/>
      <c r="AP611" s="9"/>
      <c r="AQ611" s="9"/>
      <c r="AR611" s="9"/>
      <c r="AS611" s="9"/>
      <c r="AT611" s="9"/>
      <c r="AU611" s="9"/>
      <c r="AV611" s="10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</row>
    <row r="612" spans="1:66">
      <c r="F612" s="9"/>
      <c r="G612" s="9"/>
      <c r="AV612" s="10"/>
      <c r="BM612" s="9"/>
      <c r="BN612" s="9"/>
    </row>
    <row r="613" spans="1:66">
      <c r="C613" s="85"/>
      <c r="D613" s="85"/>
      <c r="E613" s="85"/>
      <c r="F613" s="85"/>
      <c r="G613" s="85"/>
      <c r="AL613" s="85"/>
      <c r="AN613" s="85"/>
      <c r="AO613" s="85"/>
      <c r="AP613" s="85"/>
      <c r="AQ613" s="85"/>
      <c r="AR613" s="85"/>
      <c r="AS613" s="85"/>
      <c r="AT613" s="85"/>
      <c r="AU613" s="85"/>
      <c r="AV613" s="10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</row>
    <row r="614" spans="1:66">
      <c r="A614" s="85"/>
    </row>
    <row r="627" spans="1:70">
      <c r="C627" s="85"/>
      <c r="D627" s="85"/>
      <c r="E627" s="85"/>
      <c r="F627" s="85"/>
      <c r="G627" s="85"/>
      <c r="I627" s="85"/>
      <c r="AL627" s="85"/>
      <c r="AN627" s="85"/>
      <c r="AO627" s="85"/>
      <c r="AP627" s="85"/>
      <c r="AQ627" s="85"/>
      <c r="AR627" s="85"/>
      <c r="AS627" s="85"/>
      <c r="AT627" s="85"/>
      <c r="AU627" s="85"/>
      <c r="AV627" s="10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P627" s="85"/>
    </row>
    <row r="628" spans="1:70">
      <c r="A628" s="85"/>
      <c r="AL628" s="10"/>
    </row>
    <row r="629" spans="1:70">
      <c r="A629" s="10"/>
    </row>
    <row r="633" spans="1:70">
      <c r="AL633" s="10"/>
    </row>
    <row r="634" spans="1:70">
      <c r="A634" s="10"/>
    </row>
    <row r="636" spans="1:70"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AL636" s="85"/>
      <c r="AN636" s="85"/>
      <c r="AO636" s="85"/>
      <c r="AP636" s="85"/>
      <c r="AQ636" s="85"/>
      <c r="AR636" s="85"/>
      <c r="AS636" s="85"/>
      <c r="AT636" s="85"/>
      <c r="AU636" s="85"/>
      <c r="AV636" s="10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</row>
    <row r="637" spans="1:70">
      <c r="A637" s="85"/>
      <c r="AN637" s="9"/>
      <c r="AO637" s="9"/>
      <c r="AP637" s="9"/>
      <c r="AQ637" s="9"/>
      <c r="AR637" s="9"/>
      <c r="AS637" s="9"/>
      <c r="AT637" s="9"/>
      <c r="AU637" s="9"/>
      <c r="AV637" s="10"/>
      <c r="AW637" s="9"/>
      <c r="AX637" s="9"/>
      <c r="AY637" s="9"/>
    </row>
    <row r="638" spans="1:70">
      <c r="I638" s="9"/>
      <c r="J638" s="9"/>
      <c r="K638" s="9"/>
      <c r="L638" s="9"/>
      <c r="M638" s="9"/>
      <c r="AV638" s="10"/>
      <c r="BP638" s="9"/>
      <c r="BQ638" s="9"/>
      <c r="BR638" s="9"/>
    </row>
    <row r="639" spans="1:70"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AL639" s="85"/>
      <c r="AN639" s="85"/>
      <c r="AO639" s="85"/>
      <c r="AP639" s="85"/>
      <c r="AQ639" s="85"/>
      <c r="AR639" s="85"/>
      <c r="AS639" s="85"/>
      <c r="AT639" s="85"/>
      <c r="AU639" s="85"/>
      <c r="AV639" s="10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</row>
    <row r="640" spans="1:70">
      <c r="A640" s="85"/>
    </row>
    <row r="652" spans="1:38">
      <c r="AL652" s="85"/>
    </row>
    <row r="653" spans="1:38">
      <c r="A653" s="85"/>
    </row>
    <row r="655" spans="1:38">
      <c r="AL655" s="10"/>
    </row>
    <row r="656" spans="1:38">
      <c r="A656" s="10"/>
    </row>
    <row r="658" spans="1:70"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AL658" s="85"/>
      <c r="AN658" s="85"/>
      <c r="AO658" s="85"/>
      <c r="AP658" s="85"/>
      <c r="AQ658" s="85"/>
      <c r="AR658" s="85"/>
      <c r="AS658" s="85"/>
      <c r="AT658" s="85"/>
      <c r="AU658" s="85"/>
      <c r="AV658" s="10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</row>
    <row r="659" spans="1:70">
      <c r="A659" s="85"/>
      <c r="AN659" s="9"/>
      <c r="AO659" s="9"/>
      <c r="AP659" s="9"/>
      <c r="AQ659" s="9"/>
      <c r="AR659" s="9"/>
      <c r="AS659" s="9"/>
      <c r="AT659" s="9"/>
      <c r="AU659" s="9"/>
      <c r="AV659" s="10"/>
      <c r="AW659" s="9"/>
      <c r="AX659" s="9"/>
      <c r="AY659" s="9"/>
    </row>
    <row r="660" spans="1:70">
      <c r="I660" s="9"/>
      <c r="J660" s="9"/>
      <c r="AV660" s="10"/>
      <c r="BP660" s="9"/>
      <c r="BQ660" s="9"/>
    </row>
    <row r="661" spans="1:70"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AL661" s="85"/>
      <c r="AN661" s="85"/>
      <c r="AO661" s="85"/>
      <c r="AP661" s="85"/>
      <c r="AQ661" s="85"/>
      <c r="AR661" s="85"/>
      <c r="AS661" s="85"/>
      <c r="AT661" s="85"/>
      <c r="AU661" s="85"/>
      <c r="AV661" s="10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</row>
    <row r="662" spans="1:70">
      <c r="A662" s="85"/>
    </row>
    <row r="674" spans="1:70"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</row>
    <row r="675" spans="1:70">
      <c r="A675" s="85"/>
      <c r="AH675" s="85"/>
      <c r="AI675" s="85"/>
      <c r="AJ675" s="85"/>
    </row>
  </sheetData>
  <mergeCells count="4">
    <mergeCell ref="N2:P2"/>
    <mergeCell ref="A6:D6"/>
    <mergeCell ref="A11:B14"/>
    <mergeCell ref="A74:B74"/>
  </mergeCells>
  <printOptions horizontalCentered="1" verticalCentered="1"/>
  <pageMargins left="0" right="0" top="0" bottom="0" header="0" footer="0"/>
  <pageSetup paperSize="9" scale="11" orientation="landscape" horizontalDpi="360" verticalDpi="36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D9BB1-DC07-4923-8176-82FF13511D8B}">
  <sheetPr>
    <tabColor theme="9" tint="-0.249977111117893"/>
    <pageSetUpPr fitToPage="1"/>
  </sheetPr>
  <dimension ref="A1:BV701"/>
  <sheetViews>
    <sheetView view="pageBreakPreview" zoomScale="60" zoomScaleNormal="84" workbookViewId="0">
      <pane xSplit="2" ySplit="14" topLeftCell="W17" activePane="bottomRight" state="frozen"/>
      <selection activeCell="B66" sqref="B66"/>
      <selection pane="topRight" activeCell="B66" sqref="B66"/>
      <selection pane="bottomLeft" activeCell="B66" sqref="B66"/>
      <selection pane="bottomRight" activeCell="Z39" sqref="Z39:AL39"/>
    </sheetView>
  </sheetViews>
  <sheetFormatPr baseColWidth="10" defaultColWidth="14.109375" defaultRowHeight="15"/>
  <cols>
    <col min="1" max="1" width="48.109375" style="6" customWidth="1"/>
    <col min="2" max="2" width="48.109375" style="7" customWidth="1"/>
    <col min="3" max="9" width="12" style="6" customWidth="1"/>
    <col min="10" max="11" width="10.77734375" style="6" customWidth="1"/>
    <col min="12" max="12" width="12.21875" style="6" customWidth="1"/>
    <col min="13" max="23" width="10.77734375" style="6" customWidth="1"/>
    <col min="24" max="29" width="10.77734375" style="9" customWidth="1"/>
    <col min="30" max="30" width="9.109375" style="9" bestFit="1" customWidth="1"/>
    <col min="31" max="31" width="11" style="9" customWidth="1"/>
    <col min="32" max="33" width="10.44140625" style="9" customWidth="1"/>
    <col min="34" max="34" width="12" style="11" customWidth="1"/>
    <col min="35" max="35" width="19" style="6" customWidth="1"/>
    <col min="36" max="36" width="15.6640625" style="6" customWidth="1"/>
    <col min="37" max="38" width="15.6640625" style="11" customWidth="1"/>
    <col min="39" max="256" width="14.109375" style="11"/>
    <col min="257" max="258" width="48.109375" style="11" customWidth="1"/>
    <col min="259" max="265" width="12" style="11" customWidth="1"/>
    <col min="266" max="267" width="10.77734375" style="11" customWidth="1"/>
    <col min="268" max="268" width="12.21875" style="11" customWidth="1"/>
    <col min="269" max="285" width="10.77734375" style="11" customWidth="1"/>
    <col min="286" max="286" width="9.109375" style="11" bestFit="1" customWidth="1"/>
    <col min="287" max="287" width="11" style="11" customWidth="1"/>
    <col min="288" max="289" width="10.44140625" style="11" customWidth="1"/>
    <col min="290" max="290" width="12" style="11" customWidth="1"/>
    <col min="291" max="291" width="19" style="11" customWidth="1"/>
    <col min="292" max="294" width="15.6640625" style="11" customWidth="1"/>
    <col min="295" max="512" width="14.109375" style="11"/>
    <col min="513" max="514" width="48.109375" style="11" customWidth="1"/>
    <col min="515" max="521" width="12" style="11" customWidth="1"/>
    <col min="522" max="523" width="10.77734375" style="11" customWidth="1"/>
    <col min="524" max="524" width="12.21875" style="11" customWidth="1"/>
    <col min="525" max="541" width="10.77734375" style="11" customWidth="1"/>
    <col min="542" max="542" width="9.109375" style="11" bestFit="1" customWidth="1"/>
    <col min="543" max="543" width="11" style="11" customWidth="1"/>
    <col min="544" max="545" width="10.44140625" style="11" customWidth="1"/>
    <col min="546" max="546" width="12" style="11" customWidth="1"/>
    <col min="547" max="547" width="19" style="11" customWidth="1"/>
    <col min="548" max="550" width="15.6640625" style="11" customWidth="1"/>
    <col min="551" max="768" width="14.109375" style="11"/>
    <col min="769" max="770" width="48.109375" style="11" customWidth="1"/>
    <col min="771" max="777" width="12" style="11" customWidth="1"/>
    <col min="778" max="779" width="10.77734375" style="11" customWidth="1"/>
    <col min="780" max="780" width="12.21875" style="11" customWidth="1"/>
    <col min="781" max="797" width="10.77734375" style="11" customWidth="1"/>
    <col min="798" max="798" width="9.109375" style="11" bestFit="1" customWidth="1"/>
    <col min="799" max="799" width="11" style="11" customWidth="1"/>
    <col min="800" max="801" width="10.44140625" style="11" customWidth="1"/>
    <col min="802" max="802" width="12" style="11" customWidth="1"/>
    <col min="803" max="803" width="19" style="11" customWidth="1"/>
    <col min="804" max="806" width="15.6640625" style="11" customWidth="1"/>
    <col min="807" max="1024" width="14.109375" style="11"/>
    <col min="1025" max="1026" width="48.109375" style="11" customWidth="1"/>
    <col min="1027" max="1033" width="12" style="11" customWidth="1"/>
    <col min="1034" max="1035" width="10.77734375" style="11" customWidth="1"/>
    <col min="1036" max="1036" width="12.21875" style="11" customWidth="1"/>
    <col min="1037" max="1053" width="10.77734375" style="11" customWidth="1"/>
    <col min="1054" max="1054" width="9.109375" style="11" bestFit="1" customWidth="1"/>
    <col min="1055" max="1055" width="11" style="11" customWidth="1"/>
    <col min="1056" max="1057" width="10.44140625" style="11" customWidth="1"/>
    <col min="1058" max="1058" width="12" style="11" customWidth="1"/>
    <col min="1059" max="1059" width="19" style="11" customWidth="1"/>
    <col min="1060" max="1062" width="15.6640625" style="11" customWidth="1"/>
    <col min="1063" max="1280" width="14.109375" style="11"/>
    <col min="1281" max="1282" width="48.109375" style="11" customWidth="1"/>
    <col min="1283" max="1289" width="12" style="11" customWidth="1"/>
    <col min="1290" max="1291" width="10.77734375" style="11" customWidth="1"/>
    <col min="1292" max="1292" width="12.21875" style="11" customWidth="1"/>
    <col min="1293" max="1309" width="10.77734375" style="11" customWidth="1"/>
    <col min="1310" max="1310" width="9.109375" style="11" bestFit="1" customWidth="1"/>
    <col min="1311" max="1311" width="11" style="11" customWidth="1"/>
    <col min="1312" max="1313" width="10.44140625" style="11" customWidth="1"/>
    <col min="1314" max="1314" width="12" style="11" customWidth="1"/>
    <col min="1315" max="1315" width="19" style="11" customWidth="1"/>
    <col min="1316" max="1318" width="15.6640625" style="11" customWidth="1"/>
    <col min="1319" max="1536" width="14.109375" style="11"/>
    <col min="1537" max="1538" width="48.109375" style="11" customWidth="1"/>
    <col min="1539" max="1545" width="12" style="11" customWidth="1"/>
    <col min="1546" max="1547" width="10.77734375" style="11" customWidth="1"/>
    <col min="1548" max="1548" width="12.21875" style="11" customWidth="1"/>
    <col min="1549" max="1565" width="10.77734375" style="11" customWidth="1"/>
    <col min="1566" max="1566" width="9.109375" style="11" bestFit="1" customWidth="1"/>
    <col min="1567" max="1567" width="11" style="11" customWidth="1"/>
    <col min="1568" max="1569" width="10.44140625" style="11" customWidth="1"/>
    <col min="1570" max="1570" width="12" style="11" customWidth="1"/>
    <col min="1571" max="1571" width="19" style="11" customWidth="1"/>
    <col min="1572" max="1574" width="15.6640625" style="11" customWidth="1"/>
    <col min="1575" max="1792" width="14.109375" style="11"/>
    <col min="1793" max="1794" width="48.109375" style="11" customWidth="1"/>
    <col min="1795" max="1801" width="12" style="11" customWidth="1"/>
    <col min="1802" max="1803" width="10.77734375" style="11" customWidth="1"/>
    <col min="1804" max="1804" width="12.21875" style="11" customWidth="1"/>
    <col min="1805" max="1821" width="10.77734375" style="11" customWidth="1"/>
    <col min="1822" max="1822" width="9.109375" style="11" bestFit="1" customWidth="1"/>
    <col min="1823" max="1823" width="11" style="11" customWidth="1"/>
    <col min="1824" max="1825" width="10.44140625" style="11" customWidth="1"/>
    <col min="1826" max="1826" width="12" style="11" customWidth="1"/>
    <col min="1827" max="1827" width="19" style="11" customWidth="1"/>
    <col min="1828" max="1830" width="15.6640625" style="11" customWidth="1"/>
    <col min="1831" max="2048" width="14.109375" style="11"/>
    <col min="2049" max="2050" width="48.109375" style="11" customWidth="1"/>
    <col min="2051" max="2057" width="12" style="11" customWidth="1"/>
    <col min="2058" max="2059" width="10.77734375" style="11" customWidth="1"/>
    <col min="2060" max="2060" width="12.21875" style="11" customWidth="1"/>
    <col min="2061" max="2077" width="10.77734375" style="11" customWidth="1"/>
    <col min="2078" max="2078" width="9.109375" style="11" bestFit="1" customWidth="1"/>
    <col min="2079" max="2079" width="11" style="11" customWidth="1"/>
    <col min="2080" max="2081" width="10.44140625" style="11" customWidth="1"/>
    <col min="2082" max="2082" width="12" style="11" customWidth="1"/>
    <col min="2083" max="2083" width="19" style="11" customWidth="1"/>
    <col min="2084" max="2086" width="15.6640625" style="11" customWidth="1"/>
    <col min="2087" max="2304" width="14.109375" style="11"/>
    <col min="2305" max="2306" width="48.109375" style="11" customWidth="1"/>
    <col min="2307" max="2313" width="12" style="11" customWidth="1"/>
    <col min="2314" max="2315" width="10.77734375" style="11" customWidth="1"/>
    <col min="2316" max="2316" width="12.21875" style="11" customWidth="1"/>
    <col min="2317" max="2333" width="10.77734375" style="11" customWidth="1"/>
    <col min="2334" max="2334" width="9.109375" style="11" bestFit="1" customWidth="1"/>
    <col min="2335" max="2335" width="11" style="11" customWidth="1"/>
    <col min="2336" max="2337" width="10.44140625" style="11" customWidth="1"/>
    <col min="2338" max="2338" width="12" style="11" customWidth="1"/>
    <col min="2339" max="2339" width="19" style="11" customWidth="1"/>
    <col min="2340" max="2342" width="15.6640625" style="11" customWidth="1"/>
    <col min="2343" max="2560" width="14.109375" style="11"/>
    <col min="2561" max="2562" width="48.109375" style="11" customWidth="1"/>
    <col min="2563" max="2569" width="12" style="11" customWidth="1"/>
    <col min="2570" max="2571" width="10.77734375" style="11" customWidth="1"/>
    <col min="2572" max="2572" width="12.21875" style="11" customWidth="1"/>
    <col min="2573" max="2589" width="10.77734375" style="11" customWidth="1"/>
    <col min="2590" max="2590" width="9.109375" style="11" bestFit="1" customWidth="1"/>
    <col min="2591" max="2591" width="11" style="11" customWidth="1"/>
    <col min="2592" max="2593" width="10.44140625" style="11" customWidth="1"/>
    <col min="2594" max="2594" width="12" style="11" customWidth="1"/>
    <col min="2595" max="2595" width="19" style="11" customWidth="1"/>
    <col min="2596" max="2598" width="15.6640625" style="11" customWidth="1"/>
    <col min="2599" max="2816" width="14.109375" style="11"/>
    <col min="2817" max="2818" width="48.109375" style="11" customWidth="1"/>
    <col min="2819" max="2825" width="12" style="11" customWidth="1"/>
    <col min="2826" max="2827" width="10.77734375" style="11" customWidth="1"/>
    <col min="2828" max="2828" width="12.21875" style="11" customWidth="1"/>
    <col min="2829" max="2845" width="10.77734375" style="11" customWidth="1"/>
    <col min="2846" max="2846" width="9.109375" style="11" bestFit="1" customWidth="1"/>
    <col min="2847" max="2847" width="11" style="11" customWidth="1"/>
    <col min="2848" max="2849" width="10.44140625" style="11" customWidth="1"/>
    <col min="2850" max="2850" width="12" style="11" customWidth="1"/>
    <col min="2851" max="2851" width="19" style="11" customWidth="1"/>
    <col min="2852" max="2854" width="15.6640625" style="11" customWidth="1"/>
    <col min="2855" max="3072" width="14.109375" style="11"/>
    <col min="3073" max="3074" width="48.109375" style="11" customWidth="1"/>
    <col min="3075" max="3081" width="12" style="11" customWidth="1"/>
    <col min="3082" max="3083" width="10.77734375" style="11" customWidth="1"/>
    <col min="3084" max="3084" width="12.21875" style="11" customWidth="1"/>
    <col min="3085" max="3101" width="10.77734375" style="11" customWidth="1"/>
    <col min="3102" max="3102" width="9.109375" style="11" bestFit="1" customWidth="1"/>
    <col min="3103" max="3103" width="11" style="11" customWidth="1"/>
    <col min="3104" max="3105" width="10.44140625" style="11" customWidth="1"/>
    <col min="3106" max="3106" width="12" style="11" customWidth="1"/>
    <col min="3107" max="3107" width="19" style="11" customWidth="1"/>
    <col min="3108" max="3110" width="15.6640625" style="11" customWidth="1"/>
    <col min="3111" max="3328" width="14.109375" style="11"/>
    <col min="3329" max="3330" width="48.109375" style="11" customWidth="1"/>
    <col min="3331" max="3337" width="12" style="11" customWidth="1"/>
    <col min="3338" max="3339" width="10.77734375" style="11" customWidth="1"/>
    <col min="3340" max="3340" width="12.21875" style="11" customWidth="1"/>
    <col min="3341" max="3357" width="10.77734375" style="11" customWidth="1"/>
    <col min="3358" max="3358" width="9.109375" style="11" bestFit="1" customWidth="1"/>
    <col min="3359" max="3359" width="11" style="11" customWidth="1"/>
    <col min="3360" max="3361" width="10.44140625" style="11" customWidth="1"/>
    <col min="3362" max="3362" width="12" style="11" customWidth="1"/>
    <col min="3363" max="3363" width="19" style="11" customWidth="1"/>
    <col min="3364" max="3366" width="15.6640625" style="11" customWidth="1"/>
    <col min="3367" max="3584" width="14.109375" style="11"/>
    <col min="3585" max="3586" width="48.109375" style="11" customWidth="1"/>
    <col min="3587" max="3593" width="12" style="11" customWidth="1"/>
    <col min="3594" max="3595" width="10.77734375" style="11" customWidth="1"/>
    <col min="3596" max="3596" width="12.21875" style="11" customWidth="1"/>
    <col min="3597" max="3613" width="10.77734375" style="11" customWidth="1"/>
    <col min="3614" max="3614" width="9.109375" style="11" bestFit="1" customWidth="1"/>
    <col min="3615" max="3615" width="11" style="11" customWidth="1"/>
    <col min="3616" max="3617" width="10.44140625" style="11" customWidth="1"/>
    <col min="3618" max="3618" width="12" style="11" customWidth="1"/>
    <col min="3619" max="3619" width="19" style="11" customWidth="1"/>
    <col min="3620" max="3622" width="15.6640625" style="11" customWidth="1"/>
    <col min="3623" max="3840" width="14.109375" style="11"/>
    <col min="3841" max="3842" width="48.109375" style="11" customWidth="1"/>
    <col min="3843" max="3849" width="12" style="11" customWidth="1"/>
    <col min="3850" max="3851" width="10.77734375" style="11" customWidth="1"/>
    <col min="3852" max="3852" width="12.21875" style="11" customWidth="1"/>
    <col min="3853" max="3869" width="10.77734375" style="11" customWidth="1"/>
    <col min="3870" max="3870" width="9.109375" style="11" bestFit="1" customWidth="1"/>
    <col min="3871" max="3871" width="11" style="11" customWidth="1"/>
    <col min="3872" max="3873" width="10.44140625" style="11" customWidth="1"/>
    <col min="3874" max="3874" width="12" style="11" customWidth="1"/>
    <col min="3875" max="3875" width="19" style="11" customWidth="1"/>
    <col min="3876" max="3878" width="15.6640625" style="11" customWidth="1"/>
    <col min="3879" max="4096" width="14.109375" style="11"/>
    <col min="4097" max="4098" width="48.109375" style="11" customWidth="1"/>
    <col min="4099" max="4105" width="12" style="11" customWidth="1"/>
    <col min="4106" max="4107" width="10.77734375" style="11" customWidth="1"/>
    <col min="4108" max="4108" width="12.21875" style="11" customWidth="1"/>
    <col min="4109" max="4125" width="10.77734375" style="11" customWidth="1"/>
    <col min="4126" max="4126" width="9.109375" style="11" bestFit="1" customWidth="1"/>
    <col min="4127" max="4127" width="11" style="11" customWidth="1"/>
    <col min="4128" max="4129" width="10.44140625" style="11" customWidth="1"/>
    <col min="4130" max="4130" width="12" style="11" customWidth="1"/>
    <col min="4131" max="4131" width="19" style="11" customWidth="1"/>
    <col min="4132" max="4134" width="15.6640625" style="11" customWidth="1"/>
    <col min="4135" max="4352" width="14.109375" style="11"/>
    <col min="4353" max="4354" width="48.109375" style="11" customWidth="1"/>
    <col min="4355" max="4361" width="12" style="11" customWidth="1"/>
    <col min="4362" max="4363" width="10.77734375" style="11" customWidth="1"/>
    <col min="4364" max="4364" width="12.21875" style="11" customWidth="1"/>
    <col min="4365" max="4381" width="10.77734375" style="11" customWidth="1"/>
    <col min="4382" max="4382" width="9.109375" style="11" bestFit="1" customWidth="1"/>
    <col min="4383" max="4383" width="11" style="11" customWidth="1"/>
    <col min="4384" max="4385" width="10.44140625" style="11" customWidth="1"/>
    <col min="4386" max="4386" width="12" style="11" customWidth="1"/>
    <col min="4387" max="4387" width="19" style="11" customWidth="1"/>
    <col min="4388" max="4390" width="15.6640625" style="11" customWidth="1"/>
    <col min="4391" max="4608" width="14.109375" style="11"/>
    <col min="4609" max="4610" width="48.109375" style="11" customWidth="1"/>
    <col min="4611" max="4617" width="12" style="11" customWidth="1"/>
    <col min="4618" max="4619" width="10.77734375" style="11" customWidth="1"/>
    <col min="4620" max="4620" width="12.21875" style="11" customWidth="1"/>
    <col min="4621" max="4637" width="10.77734375" style="11" customWidth="1"/>
    <col min="4638" max="4638" width="9.109375" style="11" bestFit="1" customWidth="1"/>
    <col min="4639" max="4639" width="11" style="11" customWidth="1"/>
    <col min="4640" max="4641" width="10.44140625" style="11" customWidth="1"/>
    <col min="4642" max="4642" width="12" style="11" customWidth="1"/>
    <col min="4643" max="4643" width="19" style="11" customWidth="1"/>
    <col min="4644" max="4646" width="15.6640625" style="11" customWidth="1"/>
    <col min="4647" max="4864" width="14.109375" style="11"/>
    <col min="4865" max="4866" width="48.109375" style="11" customWidth="1"/>
    <col min="4867" max="4873" width="12" style="11" customWidth="1"/>
    <col min="4874" max="4875" width="10.77734375" style="11" customWidth="1"/>
    <col min="4876" max="4876" width="12.21875" style="11" customWidth="1"/>
    <col min="4877" max="4893" width="10.77734375" style="11" customWidth="1"/>
    <col min="4894" max="4894" width="9.109375" style="11" bestFit="1" customWidth="1"/>
    <col min="4895" max="4895" width="11" style="11" customWidth="1"/>
    <col min="4896" max="4897" width="10.44140625" style="11" customWidth="1"/>
    <col min="4898" max="4898" width="12" style="11" customWidth="1"/>
    <col min="4899" max="4899" width="19" style="11" customWidth="1"/>
    <col min="4900" max="4902" width="15.6640625" style="11" customWidth="1"/>
    <col min="4903" max="5120" width="14.109375" style="11"/>
    <col min="5121" max="5122" width="48.109375" style="11" customWidth="1"/>
    <col min="5123" max="5129" width="12" style="11" customWidth="1"/>
    <col min="5130" max="5131" width="10.77734375" style="11" customWidth="1"/>
    <col min="5132" max="5132" width="12.21875" style="11" customWidth="1"/>
    <col min="5133" max="5149" width="10.77734375" style="11" customWidth="1"/>
    <col min="5150" max="5150" width="9.109375" style="11" bestFit="1" customWidth="1"/>
    <col min="5151" max="5151" width="11" style="11" customWidth="1"/>
    <col min="5152" max="5153" width="10.44140625" style="11" customWidth="1"/>
    <col min="5154" max="5154" width="12" style="11" customWidth="1"/>
    <col min="5155" max="5155" width="19" style="11" customWidth="1"/>
    <col min="5156" max="5158" width="15.6640625" style="11" customWidth="1"/>
    <col min="5159" max="5376" width="14.109375" style="11"/>
    <col min="5377" max="5378" width="48.109375" style="11" customWidth="1"/>
    <col min="5379" max="5385" width="12" style="11" customWidth="1"/>
    <col min="5386" max="5387" width="10.77734375" style="11" customWidth="1"/>
    <col min="5388" max="5388" width="12.21875" style="11" customWidth="1"/>
    <col min="5389" max="5405" width="10.77734375" style="11" customWidth="1"/>
    <col min="5406" max="5406" width="9.109375" style="11" bestFit="1" customWidth="1"/>
    <col min="5407" max="5407" width="11" style="11" customWidth="1"/>
    <col min="5408" max="5409" width="10.44140625" style="11" customWidth="1"/>
    <col min="5410" max="5410" width="12" style="11" customWidth="1"/>
    <col min="5411" max="5411" width="19" style="11" customWidth="1"/>
    <col min="5412" max="5414" width="15.6640625" style="11" customWidth="1"/>
    <col min="5415" max="5632" width="14.109375" style="11"/>
    <col min="5633" max="5634" width="48.109375" style="11" customWidth="1"/>
    <col min="5635" max="5641" width="12" style="11" customWidth="1"/>
    <col min="5642" max="5643" width="10.77734375" style="11" customWidth="1"/>
    <col min="5644" max="5644" width="12.21875" style="11" customWidth="1"/>
    <col min="5645" max="5661" width="10.77734375" style="11" customWidth="1"/>
    <col min="5662" max="5662" width="9.109375" style="11" bestFit="1" customWidth="1"/>
    <col min="5663" max="5663" width="11" style="11" customWidth="1"/>
    <col min="5664" max="5665" width="10.44140625" style="11" customWidth="1"/>
    <col min="5666" max="5666" width="12" style="11" customWidth="1"/>
    <col min="5667" max="5667" width="19" style="11" customWidth="1"/>
    <col min="5668" max="5670" width="15.6640625" style="11" customWidth="1"/>
    <col min="5671" max="5888" width="14.109375" style="11"/>
    <col min="5889" max="5890" width="48.109375" style="11" customWidth="1"/>
    <col min="5891" max="5897" width="12" style="11" customWidth="1"/>
    <col min="5898" max="5899" width="10.77734375" style="11" customWidth="1"/>
    <col min="5900" max="5900" width="12.21875" style="11" customWidth="1"/>
    <col min="5901" max="5917" width="10.77734375" style="11" customWidth="1"/>
    <col min="5918" max="5918" width="9.109375" style="11" bestFit="1" customWidth="1"/>
    <col min="5919" max="5919" width="11" style="11" customWidth="1"/>
    <col min="5920" max="5921" width="10.44140625" style="11" customWidth="1"/>
    <col min="5922" max="5922" width="12" style="11" customWidth="1"/>
    <col min="5923" max="5923" width="19" style="11" customWidth="1"/>
    <col min="5924" max="5926" width="15.6640625" style="11" customWidth="1"/>
    <col min="5927" max="6144" width="14.109375" style="11"/>
    <col min="6145" max="6146" width="48.109375" style="11" customWidth="1"/>
    <col min="6147" max="6153" width="12" style="11" customWidth="1"/>
    <col min="6154" max="6155" width="10.77734375" style="11" customWidth="1"/>
    <col min="6156" max="6156" width="12.21875" style="11" customWidth="1"/>
    <col min="6157" max="6173" width="10.77734375" style="11" customWidth="1"/>
    <col min="6174" max="6174" width="9.109375" style="11" bestFit="1" customWidth="1"/>
    <col min="6175" max="6175" width="11" style="11" customWidth="1"/>
    <col min="6176" max="6177" width="10.44140625" style="11" customWidth="1"/>
    <col min="6178" max="6178" width="12" style="11" customWidth="1"/>
    <col min="6179" max="6179" width="19" style="11" customWidth="1"/>
    <col min="6180" max="6182" width="15.6640625" style="11" customWidth="1"/>
    <col min="6183" max="6400" width="14.109375" style="11"/>
    <col min="6401" max="6402" width="48.109375" style="11" customWidth="1"/>
    <col min="6403" max="6409" width="12" style="11" customWidth="1"/>
    <col min="6410" max="6411" width="10.77734375" style="11" customWidth="1"/>
    <col min="6412" max="6412" width="12.21875" style="11" customWidth="1"/>
    <col min="6413" max="6429" width="10.77734375" style="11" customWidth="1"/>
    <col min="6430" max="6430" width="9.109375" style="11" bestFit="1" customWidth="1"/>
    <col min="6431" max="6431" width="11" style="11" customWidth="1"/>
    <col min="6432" max="6433" width="10.44140625" style="11" customWidth="1"/>
    <col min="6434" max="6434" width="12" style="11" customWidth="1"/>
    <col min="6435" max="6435" width="19" style="11" customWidth="1"/>
    <col min="6436" max="6438" width="15.6640625" style="11" customWidth="1"/>
    <col min="6439" max="6656" width="14.109375" style="11"/>
    <col min="6657" max="6658" width="48.109375" style="11" customWidth="1"/>
    <col min="6659" max="6665" width="12" style="11" customWidth="1"/>
    <col min="6666" max="6667" width="10.77734375" style="11" customWidth="1"/>
    <col min="6668" max="6668" width="12.21875" style="11" customWidth="1"/>
    <col min="6669" max="6685" width="10.77734375" style="11" customWidth="1"/>
    <col min="6686" max="6686" width="9.109375" style="11" bestFit="1" customWidth="1"/>
    <col min="6687" max="6687" width="11" style="11" customWidth="1"/>
    <col min="6688" max="6689" width="10.44140625" style="11" customWidth="1"/>
    <col min="6690" max="6690" width="12" style="11" customWidth="1"/>
    <col min="6691" max="6691" width="19" style="11" customWidth="1"/>
    <col min="6692" max="6694" width="15.6640625" style="11" customWidth="1"/>
    <col min="6695" max="6912" width="14.109375" style="11"/>
    <col min="6913" max="6914" width="48.109375" style="11" customWidth="1"/>
    <col min="6915" max="6921" width="12" style="11" customWidth="1"/>
    <col min="6922" max="6923" width="10.77734375" style="11" customWidth="1"/>
    <col min="6924" max="6924" width="12.21875" style="11" customWidth="1"/>
    <col min="6925" max="6941" width="10.77734375" style="11" customWidth="1"/>
    <col min="6942" max="6942" width="9.109375" style="11" bestFit="1" customWidth="1"/>
    <col min="6943" max="6943" width="11" style="11" customWidth="1"/>
    <col min="6944" max="6945" width="10.44140625" style="11" customWidth="1"/>
    <col min="6946" max="6946" width="12" style="11" customWidth="1"/>
    <col min="6947" max="6947" width="19" style="11" customWidth="1"/>
    <col min="6948" max="6950" width="15.6640625" style="11" customWidth="1"/>
    <col min="6951" max="7168" width="14.109375" style="11"/>
    <col min="7169" max="7170" width="48.109375" style="11" customWidth="1"/>
    <col min="7171" max="7177" width="12" style="11" customWidth="1"/>
    <col min="7178" max="7179" width="10.77734375" style="11" customWidth="1"/>
    <col min="7180" max="7180" width="12.21875" style="11" customWidth="1"/>
    <col min="7181" max="7197" width="10.77734375" style="11" customWidth="1"/>
    <col min="7198" max="7198" width="9.109375" style="11" bestFit="1" customWidth="1"/>
    <col min="7199" max="7199" width="11" style="11" customWidth="1"/>
    <col min="7200" max="7201" width="10.44140625" style="11" customWidth="1"/>
    <col min="7202" max="7202" width="12" style="11" customWidth="1"/>
    <col min="7203" max="7203" width="19" style="11" customWidth="1"/>
    <col min="7204" max="7206" width="15.6640625" style="11" customWidth="1"/>
    <col min="7207" max="7424" width="14.109375" style="11"/>
    <col min="7425" max="7426" width="48.109375" style="11" customWidth="1"/>
    <col min="7427" max="7433" width="12" style="11" customWidth="1"/>
    <col min="7434" max="7435" width="10.77734375" style="11" customWidth="1"/>
    <col min="7436" max="7436" width="12.21875" style="11" customWidth="1"/>
    <col min="7437" max="7453" width="10.77734375" style="11" customWidth="1"/>
    <col min="7454" max="7454" width="9.109375" style="11" bestFit="1" customWidth="1"/>
    <col min="7455" max="7455" width="11" style="11" customWidth="1"/>
    <col min="7456" max="7457" width="10.44140625" style="11" customWidth="1"/>
    <col min="7458" max="7458" width="12" style="11" customWidth="1"/>
    <col min="7459" max="7459" width="19" style="11" customWidth="1"/>
    <col min="7460" max="7462" width="15.6640625" style="11" customWidth="1"/>
    <col min="7463" max="7680" width="14.109375" style="11"/>
    <col min="7681" max="7682" width="48.109375" style="11" customWidth="1"/>
    <col min="7683" max="7689" width="12" style="11" customWidth="1"/>
    <col min="7690" max="7691" width="10.77734375" style="11" customWidth="1"/>
    <col min="7692" max="7692" width="12.21875" style="11" customWidth="1"/>
    <col min="7693" max="7709" width="10.77734375" style="11" customWidth="1"/>
    <col min="7710" max="7710" width="9.109375" style="11" bestFit="1" customWidth="1"/>
    <col min="7711" max="7711" width="11" style="11" customWidth="1"/>
    <col min="7712" max="7713" width="10.44140625" style="11" customWidth="1"/>
    <col min="7714" max="7714" width="12" style="11" customWidth="1"/>
    <col min="7715" max="7715" width="19" style="11" customWidth="1"/>
    <col min="7716" max="7718" width="15.6640625" style="11" customWidth="1"/>
    <col min="7719" max="7936" width="14.109375" style="11"/>
    <col min="7937" max="7938" width="48.109375" style="11" customWidth="1"/>
    <col min="7939" max="7945" width="12" style="11" customWidth="1"/>
    <col min="7946" max="7947" width="10.77734375" style="11" customWidth="1"/>
    <col min="7948" max="7948" width="12.21875" style="11" customWidth="1"/>
    <col min="7949" max="7965" width="10.77734375" style="11" customWidth="1"/>
    <col min="7966" max="7966" width="9.109375" style="11" bestFit="1" customWidth="1"/>
    <col min="7967" max="7967" width="11" style="11" customWidth="1"/>
    <col min="7968" max="7969" width="10.44140625" style="11" customWidth="1"/>
    <col min="7970" max="7970" width="12" style="11" customWidth="1"/>
    <col min="7971" max="7971" width="19" style="11" customWidth="1"/>
    <col min="7972" max="7974" width="15.6640625" style="11" customWidth="1"/>
    <col min="7975" max="8192" width="14.109375" style="11"/>
    <col min="8193" max="8194" width="48.109375" style="11" customWidth="1"/>
    <col min="8195" max="8201" width="12" style="11" customWidth="1"/>
    <col min="8202" max="8203" width="10.77734375" style="11" customWidth="1"/>
    <col min="8204" max="8204" width="12.21875" style="11" customWidth="1"/>
    <col min="8205" max="8221" width="10.77734375" style="11" customWidth="1"/>
    <col min="8222" max="8222" width="9.109375" style="11" bestFit="1" customWidth="1"/>
    <col min="8223" max="8223" width="11" style="11" customWidth="1"/>
    <col min="8224" max="8225" width="10.44140625" style="11" customWidth="1"/>
    <col min="8226" max="8226" width="12" style="11" customWidth="1"/>
    <col min="8227" max="8227" width="19" style="11" customWidth="1"/>
    <col min="8228" max="8230" width="15.6640625" style="11" customWidth="1"/>
    <col min="8231" max="8448" width="14.109375" style="11"/>
    <col min="8449" max="8450" width="48.109375" style="11" customWidth="1"/>
    <col min="8451" max="8457" width="12" style="11" customWidth="1"/>
    <col min="8458" max="8459" width="10.77734375" style="11" customWidth="1"/>
    <col min="8460" max="8460" width="12.21875" style="11" customWidth="1"/>
    <col min="8461" max="8477" width="10.77734375" style="11" customWidth="1"/>
    <col min="8478" max="8478" width="9.109375" style="11" bestFit="1" customWidth="1"/>
    <col min="8479" max="8479" width="11" style="11" customWidth="1"/>
    <col min="8480" max="8481" width="10.44140625" style="11" customWidth="1"/>
    <col min="8482" max="8482" width="12" style="11" customWidth="1"/>
    <col min="8483" max="8483" width="19" style="11" customWidth="1"/>
    <col min="8484" max="8486" width="15.6640625" style="11" customWidth="1"/>
    <col min="8487" max="8704" width="14.109375" style="11"/>
    <col min="8705" max="8706" width="48.109375" style="11" customWidth="1"/>
    <col min="8707" max="8713" width="12" style="11" customWidth="1"/>
    <col min="8714" max="8715" width="10.77734375" style="11" customWidth="1"/>
    <col min="8716" max="8716" width="12.21875" style="11" customWidth="1"/>
    <col min="8717" max="8733" width="10.77734375" style="11" customWidth="1"/>
    <col min="8734" max="8734" width="9.109375" style="11" bestFit="1" customWidth="1"/>
    <col min="8735" max="8735" width="11" style="11" customWidth="1"/>
    <col min="8736" max="8737" width="10.44140625" style="11" customWidth="1"/>
    <col min="8738" max="8738" width="12" style="11" customWidth="1"/>
    <col min="8739" max="8739" width="19" style="11" customWidth="1"/>
    <col min="8740" max="8742" width="15.6640625" style="11" customWidth="1"/>
    <col min="8743" max="8960" width="14.109375" style="11"/>
    <col min="8961" max="8962" width="48.109375" style="11" customWidth="1"/>
    <col min="8963" max="8969" width="12" style="11" customWidth="1"/>
    <col min="8970" max="8971" width="10.77734375" style="11" customWidth="1"/>
    <col min="8972" max="8972" width="12.21875" style="11" customWidth="1"/>
    <col min="8973" max="8989" width="10.77734375" style="11" customWidth="1"/>
    <col min="8990" max="8990" width="9.109375" style="11" bestFit="1" customWidth="1"/>
    <col min="8991" max="8991" width="11" style="11" customWidth="1"/>
    <col min="8992" max="8993" width="10.44140625" style="11" customWidth="1"/>
    <col min="8994" max="8994" width="12" style="11" customWidth="1"/>
    <col min="8995" max="8995" width="19" style="11" customWidth="1"/>
    <col min="8996" max="8998" width="15.6640625" style="11" customWidth="1"/>
    <col min="8999" max="9216" width="14.109375" style="11"/>
    <col min="9217" max="9218" width="48.109375" style="11" customWidth="1"/>
    <col min="9219" max="9225" width="12" style="11" customWidth="1"/>
    <col min="9226" max="9227" width="10.77734375" style="11" customWidth="1"/>
    <col min="9228" max="9228" width="12.21875" style="11" customWidth="1"/>
    <col min="9229" max="9245" width="10.77734375" style="11" customWidth="1"/>
    <col min="9246" max="9246" width="9.109375" style="11" bestFit="1" customWidth="1"/>
    <col min="9247" max="9247" width="11" style="11" customWidth="1"/>
    <col min="9248" max="9249" width="10.44140625" style="11" customWidth="1"/>
    <col min="9250" max="9250" width="12" style="11" customWidth="1"/>
    <col min="9251" max="9251" width="19" style="11" customWidth="1"/>
    <col min="9252" max="9254" width="15.6640625" style="11" customWidth="1"/>
    <col min="9255" max="9472" width="14.109375" style="11"/>
    <col min="9473" max="9474" width="48.109375" style="11" customWidth="1"/>
    <col min="9475" max="9481" width="12" style="11" customWidth="1"/>
    <col min="9482" max="9483" width="10.77734375" style="11" customWidth="1"/>
    <col min="9484" max="9484" width="12.21875" style="11" customWidth="1"/>
    <col min="9485" max="9501" width="10.77734375" style="11" customWidth="1"/>
    <col min="9502" max="9502" width="9.109375" style="11" bestFit="1" customWidth="1"/>
    <col min="9503" max="9503" width="11" style="11" customWidth="1"/>
    <col min="9504" max="9505" width="10.44140625" style="11" customWidth="1"/>
    <col min="9506" max="9506" width="12" style="11" customWidth="1"/>
    <col min="9507" max="9507" width="19" style="11" customWidth="1"/>
    <col min="9508" max="9510" width="15.6640625" style="11" customWidth="1"/>
    <col min="9511" max="9728" width="14.109375" style="11"/>
    <col min="9729" max="9730" width="48.109375" style="11" customWidth="1"/>
    <col min="9731" max="9737" width="12" style="11" customWidth="1"/>
    <col min="9738" max="9739" width="10.77734375" style="11" customWidth="1"/>
    <col min="9740" max="9740" width="12.21875" style="11" customWidth="1"/>
    <col min="9741" max="9757" width="10.77734375" style="11" customWidth="1"/>
    <col min="9758" max="9758" width="9.109375" style="11" bestFit="1" customWidth="1"/>
    <col min="9759" max="9759" width="11" style="11" customWidth="1"/>
    <col min="9760" max="9761" width="10.44140625" style="11" customWidth="1"/>
    <col min="9762" max="9762" width="12" style="11" customWidth="1"/>
    <col min="9763" max="9763" width="19" style="11" customWidth="1"/>
    <col min="9764" max="9766" width="15.6640625" style="11" customWidth="1"/>
    <col min="9767" max="9984" width="14.109375" style="11"/>
    <col min="9985" max="9986" width="48.109375" style="11" customWidth="1"/>
    <col min="9987" max="9993" width="12" style="11" customWidth="1"/>
    <col min="9994" max="9995" width="10.77734375" style="11" customWidth="1"/>
    <col min="9996" max="9996" width="12.21875" style="11" customWidth="1"/>
    <col min="9997" max="10013" width="10.77734375" style="11" customWidth="1"/>
    <col min="10014" max="10014" width="9.109375" style="11" bestFit="1" customWidth="1"/>
    <col min="10015" max="10015" width="11" style="11" customWidth="1"/>
    <col min="10016" max="10017" width="10.44140625" style="11" customWidth="1"/>
    <col min="10018" max="10018" width="12" style="11" customWidth="1"/>
    <col min="10019" max="10019" width="19" style="11" customWidth="1"/>
    <col min="10020" max="10022" width="15.6640625" style="11" customWidth="1"/>
    <col min="10023" max="10240" width="14.109375" style="11"/>
    <col min="10241" max="10242" width="48.109375" style="11" customWidth="1"/>
    <col min="10243" max="10249" width="12" style="11" customWidth="1"/>
    <col min="10250" max="10251" width="10.77734375" style="11" customWidth="1"/>
    <col min="10252" max="10252" width="12.21875" style="11" customWidth="1"/>
    <col min="10253" max="10269" width="10.77734375" style="11" customWidth="1"/>
    <col min="10270" max="10270" width="9.109375" style="11" bestFit="1" customWidth="1"/>
    <col min="10271" max="10271" width="11" style="11" customWidth="1"/>
    <col min="10272" max="10273" width="10.44140625" style="11" customWidth="1"/>
    <col min="10274" max="10274" width="12" style="11" customWidth="1"/>
    <col min="10275" max="10275" width="19" style="11" customWidth="1"/>
    <col min="10276" max="10278" width="15.6640625" style="11" customWidth="1"/>
    <col min="10279" max="10496" width="14.109375" style="11"/>
    <col min="10497" max="10498" width="48.109375" style="11" customWidth="1"/>
    <col min="10499" max="10505" width="12" style="11" customWidth="1"/>
    <col min="10506" max="10507" width="10.77734375" style="11" customWidth="1"/>
    <col min="10508" max="10508" width="12.21875" style="11" customWidth="1"/>
    <col min="10509" max="10525" width="10.77734375" style="11" customWidth="1"/>
    <col min="10526" max="10526" width="9.109375" style="11" bestFit="1" customWidth="1"/>
    <col min="10527" max="10527" width="11" style="11" customWidth="1"/>
    <col min="10528" max="10529" width="10.44140625" style="11" customWidth="1"/>
    <col min="10530" max="10530" width="12" style="11" customWidth="1"/>
    <col min="10531" max="10531" width="19" style="11" customWidth="1"/>
    <col min="10532" max="10534" width="15.6640625" style="11" customWidth="1"/>
    <col min="10535" max="10752" width="14.109375" style="11"/>
    <col min="10753" max="10754" width="48.109375" style="11" customWidth="1"/>
    <col min="10755" max="10761" width="12" style="11" customWidth="1"/>
    <col min="10762" max="10763" width="10.77734375" style="11" customWidth="1"/>
    <col min="10764" max="10764" width="12.21875" style="11" customWidth="1"/>
    <col min="10765" max="10781" width="10.77734375" style="11" customWidth="1"/>
    <col min="10782" max="10782" width="9.109375" style="11" bestFit="1" customWidth="1"/>
    <col min="10783" max="10783" width="11" style="11" customWidth="1"/>
    <col min="10784" max="10785" width="10.44140625" style="11" customWidth="1"/>
    <col min="10786" max="10786" width="12" style="11" customWidth="1"/>
    <col min="10787" max="10787" width="19" style="11" customWidth="1"/>
    <col min="10788" max="10790" width="15.6640625" style="11" customWidth="1"/>
    <col min="10791" max="11008" width="14.109375" style="11"/>
    <col min="11009" max="11010" width="48.109375" style="11" customWidth="1"/>
    <col min="11011" max="11017" width="12" style="11" customWidth="1"/>
    <col min="11018" max="11019" width="10.77734375" style="11" customWidth="1"/>
    <col min="11020" max="11020" width="12.21875" style="11" customWidth="1"/>
    <col min="11021" max="11037" width="10.77734375" style="11" customWidth="1"/>
    <col min="11038" max="11038" width="9.109375" style="11" bestFit="1" customWidth="1"/>
    <col min="11039" max="11039" width="11" style="11" customWidth="1"/>
    <col min="11040" max="11041" width="10.44140625" style="11" customWidth="1"/>
    <col min="11042" max="11042" width="12" style="11" customWidth="1"/>
    <col min="11043" max="11043" width="19" style="11" customWidth="1"/>
    <col min="11044" max="11046" width="15.6640625" style="11" customWidth="1"/>
    <col min="11047" max="11264" width="14.109375" style="11"/>
    <col min="11265" max="11266" width="48.109375" style="11" customWidth="1"/>
    <col min="11267" max="11273" width="12" style="11" customWidth="1"/>
    <col min="11274" max="11275" width="10.77734375" style="11" customWidth="1"/>
    <col min="11276" max="11276" width="12.21875" style="11" customWidth="1"/>
    <col min="11277" max="11293" width="10.77734375" style="11" customWidth="1"/>
    <col min="11294" max="11294" width="9.109375" style="11" bestFit="1" customWidth="1"/>
    <col min="11295" max="11295" width="11" style="11" customWidth="1"/>
    <col min="11296" max="11297" width="10.44140625" style="11" customWidth="1"/>
    <col min="11298" max="11298" width="12" style="11" customWidth="1"/>
    <col min="11299" max="11299" width="19" style="11" customWidth="1"/>
    <col min="11300" max="11302" width="15.6640625" style="11" customWidth="1"/>
    <col min="11303" max="11520" width="14.109375" style="11"/>
    <col min="11521" max="11522" width="48.109375" style="11" customWidth="1"/>
    <col min="11523" max="11529" width="12" style="11" customWidth="1"/>
    <col min="11530" max="11531" width="10.77734375" style="11" customWidth="1"/>
    <col min="11532" max="11532" width="12.21875" style="11" customWidth="1"/>
    <col min="11533" max="11549" width="10.77734375" style="11" customWidth="1"/>
    <col min="11550" max="11550" width="9.109375" style="11" bestFit="1" customWidth="1"/>
    <col min="11551" max="11551" width="11" style="11" customWidth="1"/>
    <col min="11552" max="11553" width="10.44140625" style="11" customWidth="1"/>
    <col min="11554" max="11554" width="12" style="11" customWidth="1"/>
    <col min="11555" max="11555" width="19" style="11" customWidth="1"/>
    <col min="11556" max="11558" width="15.6640625" style="11" customWidth="1"/>
    <col min="11559" max="11776" width="14.109375" style="11"/>
    <col min="11777" max="11778" width="48.109375" style="11" customWidth="1"/>
    <col min="11779" max="11785" width="12" style="11" customWidth="1"/>
    <col min="11786" max="11787" width="10.77734375" style="11" customWidth="1"/>
    <col min="11788" max="11788" width="12.21875" style="11" customWidth="1"/>
    <col min="11789" max="11805" width="10.77734375" style="11" customWidth="1"/>
    <col min="11806" max="11806" width="9.109375" style="11" bestFit="1" customWidth="1"/>
    <col min="11807" max="11807" width="11" style="11" customWidth="1"/>
    <col min="11808" max="11809" width="10.44140625" style="11" customWidth="1"/>
    <col min="11810" max="11810" width="12" style="11" customWidth="1"/>
    <col min="11811" max="11811" width="19" style="11" customWidth="1"/>
    <col min="11812" max="11814" width="15.6640625" style="11" customWidth="1"/>
    <col min="11815" max="12032" width="14.109375" style="11"/>
    <col min="12033" max="12034" width="48.109375" style="11" customWidth="1"/>
    <col min="12035" max="12041" width="12" style="11" customWidth="1"/>
    <col min="12042" max="12043" width="10.77734375" style="11" customWidth="1"/>
    <col min="12044" max="12044" width="12.21875" style="11" customWidth="1"/>
    <col min="12045" max="12061" width="10.77734375" style="11" customWidth="1"/>
    <col min="12062" max="12062" width="9.109375" style="11" bestFit="1" customWidth="1"/>
    <col min="12063" max="12063" width="11" style="11" customWidth="1"/>
    <col min="12064" max="12065" width="10.44140625" style="11" customWidth="1"/>
    <col min="12066" max="12066" width="12" style="11" customWidth="1"/>
    <col min="12067" max="12067" width="19" style="11" customWidth="1"/>
    <col min="12068" max="12070" width="15.6640625" style="11" customWidth="1"/>
    <col min="12071" max="12288" width="14.109375" style="11"/>
    <col min="12289" max="12290" width="48.109375" style="11" customWidth="1"/>
    <col min="12291" max="12297" width="12" style="11" customWidth="1"/>
    <col min="12298" max="12299" width="10.77734375" style="11" customWidth="1"/>
    <col min="12300" max="12300" width="12.21875" style="11" customWidth="1"/>
    <col min="12301" max="12317" width="10.77734375" style="11" customWidth="1"/>
    <col min="12318" max="12318" width="9.109375" style="11" bestFit="1" customWidth="1"/>
    <col min="12319" max="12319" width="11" style="11" customWidth="1"/>
    <col min="12320" max="12321" width="10.44140625" style="11" customWidth="1"/>
    <col min="12322" max="12322" width="12" style="11" customWidth="1"/>
    <col min="12323" max="12323" width="19" style="11" customWidth="1"/>
    <col min="12324" max="12326" width="15.6640625" style="11" customWidth="1"/>
    <col min="12327" max="12544" width="14.109375" style="11"/>
    <col min="12545" max="12546" width="48.109375" style="11" customWidth="1"/>
    <col min="12547" max="12553" width="12" style="11" customWidth="1"/>
    <col min="12554" max="12555" width="10.77734375" style="11" customWidth="1"/>
    <col min="12556" max="12556" width="12.21875" style="11" customWidth="1"/>
    <col min="12557" max="12573" width="10.77734375" style="11" customWidth="1"/>
    <col min="12574" max="12574" width="9.109375" style="11" bestFit="1" customWidth="1"/>
    <col min="12575" max="12575" width="11" style="11" customWidth="1"/>
    <col min="12576" max="12577" width="10.44140625" style="11" customWidth="1"/>
    <col min="12578" max="12578" width="12" style="11" customWidth="1"/>
    <col min="12579" max="12579" width="19" style="11" customWidth="1"/>
    <col min="12580" max="12582" width="15.6640625" style="11" customWidth="1"/>
    <col min="12583" max="12800" width="14.109375" style="11"/>
    <col min="12801" max="12802" width="48.109375" style="11" customWidth="1"/>
    <col min="12803" max="12809" width="12" style="11" customWidth="1"/>
    <col min="12810" max="12811" width="10.77734375" style="11" customWidth="1"/>
    <col min="12812" max="12812" width="12.21875" style="11" customWidth="1"/>
    <col min="12813" max="12829" width="10.77734375" style="11" customWidth="1"/>
    <col min="12830" max="12830" width="9.109375" style="11" bestFit="1" customWidth="1"/>
    <col min="12831" max="12831" width="11" style="11" customWidth="1"/>
    <col min="12832" max="12833" width="10.44140625" style="11" customWidth="1"/>
    <col min="12834" max="12834" width="12" style="11" customWidth="1"/>
    <col min="12835" max="12835" width="19" style="11" customWidth="1"/>
    <col min="12836" max="12838" width="15.6640625" style="11" customWidth="1"/>
    <col min="12839" max="13056" width="14.109375" style="11"/>
    <col min="13057" max="13058" width="48.109375" style="11" customWidth="1"/>
    <col min="13059" max="13065" width="12" style="11" customWidth="1"/>
    <col min="13066" max="13067" width="10.77734375" style="11" customWidth="1"/>
    <col min="13068" max="13068" width="12.21875" style="11" customWidth="1"/>
    <col min="13069" max="13085" width="10.77734375" style="11" customWidth="1"/>
    <col min="13086" max="13086" width="9.109375" style="11" bestFit="1" customWidth="1"/>
    <col min="13087" max="13087" width="11" style="11" customWidth="1"/>
    <col min="13088" max="13089" width="10.44140625" style="11" customWidth="1"/>
    <col min="13090" max="13090" width="12" style="11" customWidth="1"/>
    <col min="13091" max="13091" width="19" style="11" customWidth="1"/>
    <col min="13092" max="13094" width="15.6640625" style="11" customWidth="1"/>
    <col min="13095" max="13312" width="14.109375" style="11"/>
    <col min="13313" max="13314" width="48.109375" style="11" customWidth="1"/>
    <col min="13315" max="13321" width="12" style="11" customWidth="1"/>
    <col min="13322" max="13323" width="10.77734375" style="11" customWidth="1"/>
    <col min="13324" max="13324" width="12.21875" style="11" customWidth="1"/>
    <col min="13325" max="13341" width="10.77734375" style="11" customWidth="1"/>
    <col min="13342" max="13342" width="9.109375" style="11" bestFit="1" customWidth="1"/>
    <col min="13343" max="13343" width="11" style="11" customWidth="1"/>
    <col min="13344" max="13345" width="10.44140625" style="11" customWidth="1"/>
    <col min="13346" max="13346" width="12" style="11" customWidth="1"/>
    <col min="13347" max="13347" width="19" style="11" customWidth="1"/>
    <col min="13348" max="13350" width="15.6640625" style="11" customWidth="1"/>
    <col min="13351" max="13568" width="14.109375" style="11"/>
    <col min="13569" max="13570" width="48.109375" style="11" customWidth="1"/>
    <col min="13571" max="13577" width="12" style="11" customWidth="1"/>
    <col min="13578" max="13579" width="10.77734375" style="11" customWidth="1"/>
    <col min="13580" max="13580" width="12.21875" style="11" customWidth="1"/>
    <col min="13581" max="13597" width="10.77734375" style="11" customWidth="1"/>
    <col min="13598" max="13598" width="9.109375" style="11" bestFit="1" customWidth="1"/>
    <col min="13599" max="13599" width="11" style="11" customWidth="1"/>
    <col min="13600" max="13601" width="10.44140625" style="11" customWidth="1"/>
    <col min="13602" max="13602" width="12" style="11" customWidth="1"/>
    <col min="13603" max="13603" width="19" style="11" customWidth="1"/>
    <col min="13604" max="13606" width="15.6640625" style="11" customWidth="1"/>
    <col min="13607" max="13824" width="14.109375" style="11"/>
    <col min="13825" max="13826" width="48.109375" style="11" customWidth="1"/>
    <col min="13827" max="13833" width="12" style="11" customWidth="1"/>
    <col min="13834" max="13835" width="10.77734375" style="11" customWidth="1"/>
    <col min="13836" max="13836" width="12.21875" style="11" customWidth="1"/>
    <col min="13837" max="13853" width="10.77734375" style="11" customWidth="1"/>
    <col min="13854" max="13854" width="9.109375" style="11" bestFit="1" customWidth="1"/>
    <col min="13855" max="13855" width="11" style="11" customWidth="1"/>
    <col min="13856" max="13857" width="10.44140625" style="11" customWidth="1"/>
    <col min="13858" max="13858" width="12" style="11" customWidth="1"/>
    <col min="13859" max="13859" width="19" style="11" customWidth="1"/>
    <col min="13860" max="13862" width="15.6640625" style="11" customWidth="1"/>
    <col min="13863" max="14080" width="14.109375" style="11"/>
    <col min="14081" max="14082" width="48.109375" style="11" customWidth="1"/>
    <col min="14083" max="14089" width="12" style="11" customWidth="1"/>
    <col min="14090" max="14091" width="10.77734375" style="11" customWidth="1"/>
    <col min="14092" max="14092" width="12.21875" style="11" customWidth="1"/>
    <col min="14093" max="14109" width="10.77734375" style="11" customWidth="1"/>
    <col min="14110" max="14110" width="9.109375" style="11" bestFit="1" customWidth="1"/>
    <col min="14111" max="14111" width="11" style="11" customWidth="1"/>
    <col min="14112" max="14113" width="10.44140625" style="11" customWidth="1"/>
    <col min="14114" max="14114" width="12" style="11" customWidth="1"/>
    <col min="14115" max="14115" width="19" style="11" customWidth="1"/>
    <col min="14116" max="14118" width="15.6640625" style="11" customWidth="1"/>
    <col min="14119" max="14336" width="14.109375" style="11"/>
    <col min="14337" max="14338" width="48.109375" style="11" customWidth="1"/>
    <col min="14339" max="14345" width="12" style="11" customWidth="1"/>
    <col min="14346" max="14347" width="10.77734375" style="11" customWidth="1"/>
    <col min="14348" max="14348" width="12.21875" style="11" customWidth="1"/>
    <col min="14349" max="14365" width="10.77734375" style="11" customWidth="1"/>
    <col min="14366" max="14366" width="9.109375" style="11" bestFit="1" customWidth="1"/>
    <col min="14367" max="14367" width="11" style="11" customWidth="1"/>
    <col min="14368" max="14369" width="10.44140625" style="11" customWidth="1"/>
    <col min="14370" max="14370" width="12" style="11" customWidth="1"/>
    <col min="14371" max="14371" width="19" style="11" customWidth="1"/>
    <col min="14372" max="14374" width="15.6640625" style="11" customWidth="1"/>
    <col min="14375" max="14592" width="14.109375" style="11"/>
    <col min="14593" max="14594" width="48.109375" style="11" customWidth="1"/>
    <col min="14595" max="14601" width="12" style="11" customWidth="1"/>
    <col min="14602" max="14603" width="10.77734375" style="11" customWidth="1"/>
    <col min="14604" max="14604" width="12.21875" style="11" customWidth="1"/>
    <col min="14605" max="14621" width="10.77734375" style="11" customWidth="1"/>
    <col min="14622" max="14622" width="9.109375" style="11" bestFit="1" customWidth="1"/>
    <col min="14623" max="14623" width="11" style="11" customWidth="1"/>
    <col min="14624" max="14625" width="10.44140625" style="11" customWidth="1"/>
    <col min="14626" max="14626" width="12" style="11" customWidth="1"/>
    <col min="14627" max="14627" width="19" style="11" customWidth="1"/>
    <col min="14628" max="14630" width="15.6640625" style="11" customWidth="1"/>
    <col min="14631" max="14848" width="14.109375" style="11"/>
    <col min="14849" max="14850" width="48.109375" style="11" customWidth="1"/>
    <col min="14851" max="14857" width="12" style="11" customWidth="1"/>
    <col min="14858" max="14859" width="10.77734375" style="11" customWidth="1"/>
    <col min="14860" max="14860" width="12.21875" style="11" customWidth="1"/>
    <col min="14861" max="14877" width="10.77734375" style="11" customWidth="1"/>
    <col min="14878" max="14878" width="9.109375" style="11" bestFit="1" customWidth="1"/>
    <col min="14879" max="14879" width="11" style="11" customWidth="1"/>
    <col min="14880" max="14881" width="10.44140625" style="11" customWidth="1"/>
    <col min="14882" max="14882" width="12" style="11" customWidth="1"/>
    <col min="14883" max="14883" width="19" style="11" customWidth="1"/>
    <col min="14884" max="14886" width="15.6640625" style="11" customWidth="1"/>
    <col min="14887" max="15104" width="14.109375" style="11"/>
    <col min="15105" max="15106" width="48.109375" style="11" customWidth="1"/>
    <col min="15107" max="15113" width="12" style="11" customWidth="1"/>
    <col min="15114" max="15115" width="10.77734375" style="11" customWidth="1"/>
    <col min="15116" max="15116" width="12.21875" style="11" customWidth="1"/>
    <col min="15117" max="15133" width="10.77734375" style="11" customWidth="1"/>
    <col min="15134" max="15134" width="9.109375" style="11" bestFit="1" customWidth="1"/>
    <col min="15135" max="15135" width="11" style="11" customWidth="1"/>
    <col min="15136" max="15137" width="10.44140625" style="11" customWidth="1"/>
    <col min="15138" max="15138" width="12" style="11" customWidth="1"/>
    <col min="15139" max="15139" width="19" style="11" customWidth="1"/>
    <col min="15140" max="15142" width="15.6640625" style="11" customWidth="1"/>
    <col min="15143" max="15360" width="14.109375" style="11"/>
    <col min="15361" max="15362" width="48.109375" style="11" customWidth="1"/>
    <col min="15363" max="15369" width="12" style="11" customWidth="1"/>
    <col min="15370" max="15371" width="10.77734375" style="11" customWidth="1"/>
    <col min="15372" max="15372" width="12.21875" style="11" customWidth="1"/>
    <col min="15373" max="15389" width="10.77734375" style="11" customWidth="1"/>
    <col min="15390" max="15390" width="9.109375" style="11" bestFit="1" customWidth="1"/>
    <col min="15391" max="15391" width="11" style="11" customWidth="1"/>
    <col min="15392" max="15393" width="10.44140625" style="11" customWidth="1"/>
    <col min="15394" max="15394" width="12" style="11" customWidth="1"/>
    <col min="15395" max="15395" width="19" style="11" customWidth="1"/>
    <col min="15396" max="15398" width="15.6640625" style="11" customWidth="1"/>
    <col min="15399" max="15616" width="14.109375" style="11"/>
    <col min="15617" max="15618" width="48.109375" style="11" customWidth="1"/>
    <col min="15619" max="15625" width="12" style="11" customWidth="1"/>
    <col min="15626" max="15627" width="10.77734375" style="11" customWidth="1"/>
    <col min="15628" max="15628" width="12.21875" style="11" customWidth="1"/>
    <col min="15629" max="15645" width="10.77734375" style="11" customWidth="1"/>
    <col min="15646" max="15646" width="9.109375" style="11" bestFit="1" customWidth="1"/>
    <col min="15647" max="15647" width="11" style="11" customWidth="1"/>
    <col min="15648" max="15649" width="10.44140625" style="11" customWidth="1"/>
    <col min="15650" max="15650" width="12" style="11" customWidth="1"/>
    <col min="15651" max="15651" width="19" style="11" customWidth="1"/>
    <col min="15652" max="15654" width="15.6640625" style="11" customWidth="1"/>
    <col min="15655" max="15872" width="14.109375" style="11"/>
    <col min="15873" max="15874" width="48.109375" style="11" customWidth="1"/>
    <col min="15875" max="15881" width="12" style="11" customWidth="1"/>
    <col min="15882" max="15883" width="10.77734375" style="11" customWidth="1"/>
    <col min="15884" max="15884" width="12.21875" style="11" customWidth="1"/>
    <col min="15885" max="15901" width="10.77734375" style="11" customWidth="1"/>
    <col min="15902" max="15902" width="9.109375" style="11" bestFit="1" customWidth="1"/>
    <col min="15903" max="15903" width="11" style="11" customWidth="1"/>
    <col min="15904" max="15905" width="10.44140625" style="11" customWidth="1"/>
    <col min="15906" max="15906" width="12" style="11" customWidth="1"/>
    <col min="15907" max="15907" width="19" style="11" customWidth="1"/>
    <col min="15908" max="15910" width="15.6640625" style="11" customWidth="1"/>
    <col min="15911" max="16128" width="14.109375" style="11"/>
    <col min="16129" max="16130" width="48.109375" style="11" customWidth="1"/>
    <col min="16131" max="16137" width="12" style="11" customWidth="1"/>
    <col min="16138" max="16139" width="10.77734375" style="11" customWidth="1"/>
    <col min="16140" max="16140" width="12.21875" style="11" customWidth="1"/>
    <col min="16141" max="16157" width="10.77734375" style="11" customWidth="1"/>
    <col min="16158" max="16158" width="9.109375" style="11" bestFit="1" customWidth="1"/>
    <col min="16159" max="16159" width="11" style="11" customWidth="1"/>
    <col min="16160" max="16161" width="10.44140625" style="11" customWidth="1"/>
    <col min="16162" max="16162" width="12" style="11" customWidth="1"/>
    <col min="16163" max="16163" width="19" style="11" customWidth="1"/>
    <col min="16164" max="16166" width="15.6640625" style="11" customWidth="1"/>
    <col min="16167" max="16384" width="14.109375" style="11"/>
  </cols>
  <sheetData>
    <row r="1" spans="1:74" ht="17.399999999999999" customHeight="1"/>
    <row r="2" spans="1:74" ht="17.399999999999999" customHeight="1">
      <c r="A2" s="131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</row>
    <row r="3" spans="1:74" ht="17.399999999999999" customHeight="1">
      <c r="A3" s="12" t="s">
        <v>120</v>
      </c>
      <c r="B3" s="14"/>
      <c r="C3" s="14"/>
      <c r="AI3" s="11"/>
      <c r="AJ3" s="11"/>
      <c r="AK3" s="6"/>
      <c r="AL3" s="6"/>
      <c r="AM3" s="6"/>
      <c r="AN3" s="6"/>
      <c r="AO3" s="6"/>
      <c r="AP3" s="14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</row>
    <row r="4" spans="1:74" ht="17.399999999999999" customHeight="1">
      <c r="A4" s="12" t="s">
        <v>121</v>
      </c>
      <c r="B4" s="14"/>
      <c r="C4" s="14"/>
      <c r="AI4" s="11"/>
      <c r="AJ4" s="11"/>
      <c r="AK4" s="6"/>
      <c r="AL4" s="6"/>
      <c r="AM4" s="6"/>
      <c r="AN4" s="6"/>
      <c r="AO4" s="6"/>
      <c r="AP4" s="14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</row>
    <row r="5" spans="1:74" ht="17.399999999999999" customHeight="1">
      <c r="A5" s="131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 spans="1:74" ht="17.399999999999999" customHeight="1">
      <c r="A6" s="15" t="s">
        <v>122</v>
      </c>
      <c r="B6" s="15"/>
      <c r="C6" s="15"/>
      <c r="D6" s="15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</row>
    <row r="7" spans="1:74" ht="17.399999999999999" customHeight="1">
      <c r="A7" s="15"/>
      <c r="B7" s="15"/>
      <c r="C7" s="15"/>
      <c r="D7" s="15"/>
      <c r="AK7" s="6"/>
      <c r="AL7" s="6"/>
      <c r="AM7" s="6"/>
      <c r="AN7" s="6"/>
      <c r="AO7" s="17"/>
      <c r="AP7" s="18"/>
      <c r="AQ7" s="18"/>
      <c r="AR7" s="18"/>
      <c r="AS7" s="18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</row>
    <row r="8" spans="1:74" ht="17.399999999999999" customHeight="1"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 spans="1:74" s="23" customFormat="1" ht="17.399999999999999" customHeight="1">
      <c r="A9" s="19" t="s">
        <v>222</v>
      </c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2"/>
      <c r="Y9" s="22"/>
      <c r="Z9" s="22"/>
      <c r="AA9" s="22"/>
      <c r="AB9" s="22"/>
      <c r="AC9" s="22"/>
      <c r="AD9" s="22"/>
      <c r="AE9" s="22"/>
      <c r="AF9" s="22"/>
      <c r="AG9" s="22"/>
      <c r="AI9" s="21"/>
      <c r="AJ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</row>
    <row r="10" spans="1:74" ht="17.399999999999999" customHeight="1" thickBot="1"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 spans="1:74" ht="17.399999999999999" customHeight="1">
      <c r="A11" s="132"/>
      <c r="B11" s="133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28"/>
      <c r="Z11" s="28"/>
      <c r="AA11" s="28"/>
      <c r="AB11" s="28"/>
      <c r="AC11" s="28"/>
      <c r="AD11" s="28"/>
      <c r="AE11" s="134"/>
      <c r="AF11" s="134"/>
      <c r="AG11" s="134"/>
      <c r="AH11" s="134"/>
      <c r="AI11" s="135"/>
      <c r="AJ11" s="31"/>
      <c r="AK11" s="31"/>
      <c r="AL11" s="31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 spans="1:74" ht="17.399999999999999" customHeight="1">
      <c r="A12" s="68"/>
      <c r="B12" s="71"/>
      <c r="C12" s="35" t="s">
        <v>48</v>
      </c>
      <c r="D12" s="35" t="s">
        <v>82</v>
      </c>
      <c r="E12" s="35" t="s">
        <v>83</v>
      </c>
      <c r="F12" s="35" t="s">
        <v>85</v>
      </c>
      <c r="G12" s="35" t="s">
        <v>86</v>
      </c>
      <c r="H12" s="35" t="s">
        <v>87</v>
      </c>
      <c r="I12" s="35" t="s">
        <v>88</v>
      </c>
      <c r="J12" s="35" t="s">
        <v>89</v>
      </c>
      <c r="K12" s="36" t="s">
        <v>124</v>
      </c>
      <c r="L12" s="36" t="s">
        <v>125</v>
      </c>
      <c r="M12" s="36" t="s">
        <v>126</v>
      </c>
      <c r="N12" s="36" t="s">
        <v>127</v>
      </c>
      <c r="O12" s="36" t="s">
        <v>128</v>
      </c>
      <c r="P12" s="37" t="s">
        <v>129</v>
      </c>
      <c r="Q12" s="38" t="s">
        <v>130</v>
      </c>
      <c r="R12" s="38" t="s">
        <v>131</v>
      </c>
      <c r="S12" s="38" t="s">
        <v>132</v>
      </c>
      <c r="T12" s="38" t="s">
        <v>133</v>
      </c>
      <c r="U12" s="38" t="s">
        <v>94</v>
      </c>
      <c r="V12" s="38" t="s">
        <v>98</v>
      </c>
      <c r="W12" s="38" t="s">
        <v>99</v>
      </c>
      <c r="X12" s="38" t="s">
        <v>100</v>
      </c>
      <c r="Y12" s="38" t="s">
        <v>101</v>
      </c>
      <c r="Z12" s="38" t="s">
        <v>102</v>
      </c>
      <c r="AA12" s="38" t="s">
        <v>104</v>
      </c>
      <c r="AB12" s="38" t="s">
        <v>105</v>
      </c>
      <c r="AC12" s="38" t="s">
        <v>106</v>
      </c>
      <c r="AD12" s="38" t="s">
        <v>107</v>
      </c>
      <c r="AE12" s="136" t="s">
        <v>108</v>
      </c>
      <c r="AF12" s="136" t="s">
        <v>112</v>
      </c>
      <c r="AG12" s="136" t="s">
        <v>113</v>
      </c>
      <c r="AH12" s="136" t="s">
        <v>114</v>
      </c>
      <c r="AI12" s="137" t="s">
        <v>115</v>
      </c>
      <c r="AJ12" s="42" t="s">
        <v>118</v>
      </c>
      <c r="AK12" s="42" t="s">
        <v>119</v>
      </c>
      <c r="AL12" s="42" t="s">
        <v>134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 spans="1:74" ht="17.399999999999999" customHeight="1">
      <c r="A13" s="68"/>
      <c r="B13" s="71"/>
      <c r="C13" s="44"/>
      <c r="D13" s="44"/>
      <c r="E13" s="44"/>
      <c r="F13" s="44"/>
      <c r="G13" s="44"/>
      <c r="H13" s="44"/>
      <c r="I13" s="44"/>
      <c r="J13" s="44"/>
      <c r="K13" s="44"/>
      <c r="L13" s="35"/>
      <c r="M13" s="138"/>
      <c r="N13" s="44"/>
      <c r="O13" s="44"/>
      <c r="P13" s="35"/>
      <c r="Q13" s="39"/>
      <c r="R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139"/>
      <c r="AG13" s="139"/>
      <c r="AH13" s="139"/>
      <c r="AI13" s="140"/>
      <c r="AJ13" s="46"/>
      <c r="AK13" s="46" t="s">
        <v>136</v>
      </c>
      <c r="AL13" s="46" t="s">
        <v>137</v>
      </c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 spans="1:74" ht="17.399999999999999" customHeight="1" thickBot="1">
      <c r="A14" s="101"/>
      <c r="B14" s="87"/>
      <c r="C14" s="141" t="s">
        <v>138</v>
      </c>
      <c r="D14" s="50" t="s">
        <v>139</v>
      </c>
      <c r="E14" s="50" t="s">
        <v>140</v>
      </c>
      <c r="F14" s="50" t="s">
        <v>141</v>
      </c>
      <c r="G14" s="50" t="s">
        <v>142</v>
      </c>
      <c r="H14" s="50" t="s">
        <v>143</v>
      </c>
      <c r="I14" s="50" t="s">
        <v>144</v>
      </c>
      <c r="J14" s="50" t="s">
        <v>145</v>
      </c>
      <c r="K14" s="50" t="s">
        <v>146</v>
      </c>
      <c r="L14" s="50" t="s">
        <v>147</v>
      </c>
      <c r="M14" s="51" t="s">
        <v>148</v>
      </c>
      <c r="N14" s="51" t="s">
        <v>149</v>
      </c>
      <c r="O14" s="51" t="s">
        <v>150</v>
      </c>
      <c r="P14" s="51" t="s">
        <v>151</v>
      </c>
      <c r="Q14" s="51" t="s">
        <v>152</v>
      </c>
      <c r="R14" s="51" t="s">
        <v>153</v>
      </c>
      <c r="S14" s="51" t="s">
        <v>154</v>
      </c>
      <c r="T14" s="51" t="s">
        <v>155</v>
      </c>
      <c r="U14" s="51" t="s">
        <v>156</v>
      </c>
      <c r="V14" s="51" t="s">
        <v>157</v>
      </c>
      <c r="W14" s="51" t="s">
        <v>158</v>
      </c>
      <c r="X14" s="51" t="s">
        <v>159</v>
      </c>
      <c r="Y14" s="51" t="s">
        <v>160</v>
      </c>
      <c r="Z14" s="51" t="s">
        <v>161</v>
      </c>
      <c r="AA14" s="51" t="s">
        <v>162</v>
      </c>
      <c r="AB14" s="51" t="s">
        <v>163</v>
      </c>
      <c r="AC14" s="51" t="s">
        <v>164</v>
      </c>
      <c r="AD14" s="51" t="s">
        <v>165</v>
      </c>
      <c r="AE14" s="142" t="s">
        <v>166</v>
      </c>
      <c r="AF14" s="142" t="s">
        <v>167</v>
      </c>
      <c r="AG14" s="142" t="s">
        <v>168</v>
      </c>
      <c r="AH14" s="142" t="s">
        <v>169</v>
      </c>
      <c r="AI14" s="143" t="s">
        <v>170</v>
      </c>
      <c r="AJ14" s="144" t="s">
        <v>171</v>
      </c>
      <c r="AK14" s="144" t="s">
        <v>172</v>
      </c>
      <c r="AL14" s="144" t="s">
        <v>173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 spans="1:74" ht="17.399999999999999" customHeight="1">
      <c r="A15" s="68"/>
      <c r="B15" s="71"/>
      <c r="AH15" s="9"/>
      <c r="AI15" s="69"/>
      <c r="AJ15" s="70"/>
      <c r="AK15" s="70"/>
      <c r="AL15" s="70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 spans="1:74" ht="17.399999999999999" customHeight="1">
      <c r="A16" s="68" t="s">
        <v>183</v>
      </c>
      <c r="B16" s="71" t="s">
        <v>95</v>
      </c>
      <c r="T16" s="6">
        <v>0.5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1.5</v>
      </c>
      <c r="AB16" s="6">
        <v>1.5</v>
      </c>
      <c r="AC16" s="6">
        <v>1.5</v>
      </c>
      <c r="AD16" s="6">
        <v>1.5</v>
      </c>
      <c r="AE16" s="6">
        <v>1</v>
      </c>
      <c r="AF16" s="6">
        <v>1.5</v>
      </c>
      <c r="AG16" s="6">
        <v>1.5</v>
      </c>
      <c r="AH16" s="6">
        <v>1.5</v>
      </c>
      <c r="AI16" s="64">
        <v>1</v>
      </c>
      <c r="AJ16" s="72">
        <v>1</v>
      </c>
      <c r="AK16" s="72">
        <v>1</v>
      </c>
      <c r="AL16" s="73">
        <v>1</v>
      </c>
      <c r="AM16" s="6"/>
      <c r="AN16" s="6"/>
    </row>
    <row r="17" spans="1:57" ht="17.399999999999999" customHeight="1">
      <c r="A17" s="68" t="s">
        <v>184</v>
      </c>
      <c r="B17" s="71" t="s">
        <v>49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1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0.5</v>
      </c>
      <c r="U17" s="6">
        <v>0.5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0.5</v>
      </c>
      <c r="AB17" s="6">
        <v>0.5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4">
        <v>0</v>
      </c>
      <c r="AJ17" s="72">
        <v>0</v>
      </c>
      <c r="AK17" s="73">
        <v>0</v>
      </c>
      <c r="AL17" s="73">
        <v>0</v>
      </c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 spans="1:57" ht="17.399999999999999" customHeight="1">
      <c r="A18" s="68" t="s">
        <v>185</v>
      </c>
      <c r="B18" s="71" t="s">
        <v>75</v>
      </c>
      <c r="C18" s="68"/>
      <c r="AH18" s="9">
        <v>35.5</v>
      </c>
      <c r="AI18" s="69">
        <v>37</v>
      </c>
      <c r="AJ18" s="93">
        <v>21.5</v>
      </c>
      <c r="AK18" s="145">
        <v>5</v>
      </c>
      <c r="AL18" s="145">
        <v>6</v>
      </c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 spans="1:57" ht="17.399999999999999" customHeight="1">
      <c r="A19" s="68" t="s">
        <v>186</v>
      </c>
      <c r="B19" s="71" t="s">
        <v>50</v>
      </c>
      <c r="C19" s="6">
        <v>0</v>
      </c>
      <c r="D19" s="6">
        <v>0</v>
      </c>
      <c r="E19" s="6">
        <v>0</v>
      </c>
      <c r="F19" s="6">
        <v>0</v>
      </c>
      <c r="G19" s="6">
        <v>0.5</v>
      </c>
      <c r="H19" s="6">
        <v>0.5</v>
      </c>
      <c r="I19" s="6">
        <v>6.5</v>
      </c>
      <c r="J19" s="6">
        <v>7</v>
      </c>
      <c r="K19" s="6">
        <v>3.5</v>
      </c>
      <c r="L19" s="6">
        <v>2</v>
      </c>
      <c r="M19" s="6">
        <v>5.5</v>
      </c>
      <c r="N19" s="6">
        <v>0.5</v>
      </c>
      <c r="O19" s="6">
        <v>0</v>
      </c>
      <c r="P19" s="6">
        <v>0</v>
      </c>
      <c r="Q19" s="6">
        <v>0</v>
      </c>
      <c r="R19" s="6">
        <v>0.5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1.5</v>
      </c>
      <c r="AF19" s="6">
        <v>0.5</v>
      </c>
      <c r="AG19" s="6">
        <v>1</v>
      </c>
      <c r="AH19" s="6">
        <v>1.5</v>
      </c>
      <c r="AI19" s="64">
        <v>3.5</v>
      </c>
      <c r="AJ19" s="72">
        <v>0</v>
      </c>
      <c r="AK19" s="72">
        <v>0.5</v>
      </c>
      <c r="AL19" s="72">
        <v>3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 spans="1:57" ht="17.399999999999999" customHeight="1">
      <c r="A20" s="68" t="s">
        <v>187</v>
      </c>
      <c r="B20" s="71" t="s">
        <v>223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4">
        <v>0.5</v>
      </c>
      <c r="AJ20" s="72">
        <v>0.5</v>
      </c>
      <c r="AK20" s="73">
        <v>0.5</v>
      </c>
      <c r="AL20" s="73">
        <v>0.5</v>
      </c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spans="1:57" ht="17.399999999999999" customHeight="1">
      <c r="A21" s="68" t="s">
        <v>188</v>
      </c>
      <c r="B21" s="71" t="s">
        <v>117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4">
        <v>0.5</v>
      </c>
      <c r="AJ21" s="73">
        <v>0.5</v>
      </c>
      <c r="AK21" s="73">
        <v>0.5</v>
      </c>
      <c r="AL21" s="73">
        <v>0.5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spans="1:57" ht="17.399999999999999" customHeight="1">
      <c r="A22" s="68" t="s">
        <v>174</v>
      </c>
      <c r="B22" s="71" t="s">
        <v>55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0.5</v>
      </c>
      <c r="K22" s="6">
        <v>0.5</v>
      </c>
      <c r="L22" s="6">
        <v>0.5</v>
      </c>
      <c r="M22" s="6">
        <v>0</v>
      </c>
      <c r="N22" s="6">
        <v>0</v>
      </c>
      <c r="O22" s="6">
        <v>0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4"/>
      <c r="AJ22" s="65"/>
      <c r="AK22" s="65"/>
      <c r="AL22" s="65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spans="1:57" ht="17.399999999999999" customHeight="1">
      <c r="A23" s="68" t="s">
        <v>175</v>
      </c>
      <c r="B23" s="71" t="s">
        <v>90</v>
      </c>
      <c r="J23" s="6">
        <v>0.5</v>
      </c>
      <c r="K23" s="6">
        <v>0.5</v>
      </c>
      <c r="L23" s="6">
        <v>1</v>
      </c>
      <c r="M23" s="6">
        <v>2</v>
      </c>
      <c r="N23" s="6">
        <v>1.5</v>
      </c>
      <c r="O23" s="6">
        <v>0.5</v>
      </c>
      <c r="P23" s="6">
        <v>0.5</v>
      </c>
      <c r="Q23" s="6">
        <v>0.5</v>
      </c>
      <c r="R23" s="6">
        <v>0.5</v>
      </c>
      <c r="S23" s="6">
        <v>1.5</v>
      </c>
      <c r="T23" s="6">
        <v>1.5</v>
      </c>
      <c r="U23" s="6">
        <v>1.5</v>
      </c>
      <c r="V23" s="6">
        <v>1.5</v>
      </c>
      <c r="W23" s="6">
        <v>2</v>
      </c>
      <c r="X23" s="6">
        <v>2.5</v>
      </c>
      <c r="Y23" s="6">
        <v>2.5</v>
      </c>
      <c r="Z23" s="6"/>
      <c r="AA23" s="6"/>
      <c r="AB23" s="6"/>
      <c r="AC23" s="6"/>
      <c r="AD23" s="6"/>
      <c r="AE23" s="6"/>
      <c r="AF23" s="6"/>
      <c r="AG23" s="6"/>
      <c r="AH23" s="6"/>
      <c r="AI23" s="64"/>
      <c r="AJ23" s="65"/>
      <c r="AK23" s="65"/>
      <c r="AL23" s="65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spans="1:57" ht="17.399999999999999" customHeight="1">
      <c r="A24" s="68" t="s">
        <v>189</v>
      </c>
      <c r="B24" s="71" t="s">
        <v>56</v>
      </c>
      <c r="C24" s="6">
        <v>1</v>
      </c>
      <c r="D24" s="6">
        <v>0</v>
      </c>
      <c r="E24" s="6">
        <v>1</v>
      </c>
      <c r="F24" s="6">
        <v>0.5</v>
      </c>
      <c r="G24" s="6">
        <v>1</v>
      </c>
      <c r="H24" s="6">
        <v>0.5</v>
      </c>
      <c r="I24" s="6">
        <v>0.5</v>
      </c>
      <c r="J24" s="6">
        <v>0.5</v>
      </c>
      <c r="K24" s="6">
        <v>0.5</v>
      </c>
      <c r="L24" s="6">
        <v>0.5</v>
      </c>
      <c r="M24" s="6">
        <v>0.5</v>
      </c>
      <c r="N24" s="6">
        <v>0.5</v>
      </c>
      <c r="O24" s="6">
        <v>0.5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3.5</v>
      </c>
      <c r="V24" s="6">
        <v>4</v>
      </c>
      <c r="W24" s="6">
        <v>1</v>
      </c>
      <c r="X24" s="6">
        <v>1.5</v>
      </c>
      <c r="Y24" s="6">
        <v>1</v>
      </c>
      <c r="Z24" s="6">
        <v>1</v>
      </c>
      <c r="AA24" s="6">
        <v>6</v>
      </c>
      <c r="AB24" s="6">
        <v>0.5</v>
      </c>
      <c r="AC24" s="6">
        <v>0</v>
      </c>
      <c r="AD24" s="6">
        <v>2.5</v>
      </c>
      <c r="AE24" s="6">
        <v>3.5</v>
      </c>
      <c r="AF24" s="6">
        <v>4.5</v>
      </c>
      <c r="AG24" s="6">
        <v>4.5</v>
      </c>
      <c r="AH24" s="6">
        <v>2</v>
      </c>
      <c r="AI24" s="64">
        <v>0</v>
      </c>
      <c r="AJ24" s="72">
        <v>0</v>
      </c>
      <c r="AK24" s="72">
        <v>0</v>
      </c>
      <c r="AL24" s="72">
        <v>0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spans="1:57" ht="17.399999999999999" customHeight="1">
      <c r="A25" s="68" t="s">
        <v>190</v>
      </c>
      <c r="B25" s="71" t="s">
        <v>109</v>
      </c>
      <c r="X25" s="6"/>
      <c r="Y25" s="6"/>
      <c r="Z25" s="6"/>
      <c r="AA25" s="6"/>
      <c r="AB25" s="6"/>
      <c r="AC25" s="6"/>
      <c r="AD25" s="6"/>
      <c r="AE25" s="6">
        <v>0.5</v>
      </c>
      <c r="AF25" s="6">
        <v>0.5</v>
      </c>
      <c r="AG25" s="6">
        <v>0.5</v>
      </c>
      <c r="AH25" s="6">
        <v>0.5</v>
      </c>
      <c r="AI25" s="64">
        <v>0.5</v>
      </c>
      <c r="AJ25" s="73">
        <v>0.5</v>
      </c>
      <c r="AK25" s="73">
        <v>0.5</v>
      </c>
      <c r="AL25" s="73">
        <v>0.5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spans="1:57" ht="17.399999999999999" customHeight="1">
      <c r="A26" s="68" t="s">
        <v>60</v>
      </c>
      <c r="B26" s="71" t="s">
        <v>60</v>
      </c>
      <c r="C26" s="6">
        <v>2</v>
      </c>
      <c r="D26" s="6">
        <v>2</v>
      </c>
      <c r="E26" s="6">
        <v>0.5</v>
      </c>
      <c r="F26" s="6">
        <v>0.5</v>
      </c>
      <c r="G26" s="6">
        <v>1</v>
      </c>
      <c r="H26" s="6">
        <v>2</v>
      </c>
      <c r="I26" s="6">
        <v>2</v>
      </c>
      <c r="J26" s="6">
        <v>1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0.5</v>
      </c>
      <c r="R26" s="6">
        <v>2</v>
      </c>
      <c r="S26" s="6">
        <v>1.5</v>
      </c>
      <c r="T26" s="6">
        <v>3</v>
      </c>
      <c r="U26" s="6">
        <v>3</v>
      </c>
      <c r="V26" s="6">
        <v>3</v>
      </c>
      <c r="W26" s="6">
        <v>3.5</v>
      </c>
      <c r="X26" s="6">
        <v>4.5</v>
      </c>
      <c r="Y26" s="6">
        <v>4</v>
      </c>
      <c r="Z26" s="6">
        <v>5</v>
      </c>
      <c r="AA26" s="6">
        <v>5.5</v>
      </c>
      <c r="AB26" s="6">
        <v>5</v>
      </c>
      <c r="AC26" s="6">
        <v>2.5</v>
      </c>
      <c r="AD26" s="6">
        <v>3.5</v>
      </c>
      <c r="AE26" s="6">
        <v>3</v>
      </c>
      <c r="AF26" s="6">
        <v>3</v>
      </c>
      <c r="AG26" s="6">
        <v>4</v>
      </c>
      <c r="AH26" s="6">
        <v>4</v>
      </c>
      <c r="AI26" s="64">
        <v>2</v>
      </c>
      <c r="AJ26" s="72">
        <v>3.5</v>
      </c>
      <c r="AK26" s="72">
        <v>4</v>
      </c>
      <c r="AL26" s="72">
        <v>5.5</v>
      </c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spans="1:57" ht="17.399999999999999" customHeight="1">
      <c r="A27" s="68" t="s">
        <v>191</v>
      </c>
      <c r="B27" s="71" t="s">
        <v>61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T27" s="6">
        <v>0</v>
      </c>
      <c r="U27" s="6">
        <v>0</v>
      </c>
      <c r="V27" s="6">
        <v>8.5</v>
      </c>
      <c r="W27" s="6">
        <v>6</v>
      </c>
      <c r="X27" s="6">
        <v>6</v>
      </c>
      <c r="Y27" s="6">
        <v>6</v>
      </c>
      <c r="Z27" s="6">
        <v>6</v>
      </c>
      <c r="AA27" s="6">
        <v>1.5</v>
      </c>
      <c r="AB27" s="6">
        <v>1.5</v>
      </c>
      <c r="AC27" s="6">
        <v>1.5</v>
      </c>
      <c r="AD27" s="6">
        <v>1.5</v>
      </c>
      <c r="AE27" s="6">
        <v>1.5</v>
      </c>
      <c r="AF27" s="6">
        <v>1.5</v>
      </c>
      <c r="AG27" s="6">
        <v>1</v>
      </c>
      <c r="AH27" s="6">
        <v>1</v>
      </c>
      <c r="AI27" s="64">
        <v>1.5</v>
      </c>
      <c r="AJ27" s="72">
        <v>1.5</v>
      </c>
      <c r="AK27" s="73">
        <v>2</v>
      </c>
      <c r="AL27" s="73">
        <v>2</v>
      </c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spans="1:57" ht="17.399999999999999" customHeight="1">
      <c r="A28" s="68" t="s">
        <v>192</v>
      </c>
      <c r="B28" s="71" t="s">
        <v>62</v>
      </c>
      <c r="C28" s="6">
        <v>0</v>
      </c>
      <c r="D28" s="6">
        <v>1</v>
      </c>
      <c r="E28" s="6">
        <v>0</v>
      </c>
      <c r="F28" s="6">
        <v>1</v>
      </c>
      <c r="G28" s="6">
        <v>1.5</v>
      </c>
      <c r="H28" s="6">
        <v>3.5</v>
      </c>
      <c r="I28" s="6">
        <v>2</v>
      </c>
      <c r="J28" s="6">
        <v>2.5</v>
      </c>
      <c r="K28" s="6">
        <v>5</v>
      </c>
      <c r="L28" s="6">
        <v>10</v>
      </c>
      <c r="M28" s="6">
        <v>7</v>
      </c>
      <c r="N28" s="6">
        <v>10.5</v>
      </c>
      <c r="O28" s="6">
        <v>6</v>
      </c>
      <c r="P28" s="6">
        <v>10.5</v>
      </c>
      <c r="Q28" s="6">
        <v>7.5</v>
      </c>
      <c r="R28" s="6">
        <v>13.5</v>
      </c>
      <c r="S28" s="6">
        <v>8</v>
      </c>
      <c r="T28" s="6">
        <v>12</v>
      </c>
      <c r="U28" s="6">
        <v>8</v>
      </c>
      <c r="V28" s="6">
        <v>13</v>
      </c>
      <c r="W28" s="6">
        <v>7.5</v>
      </c>
      <c r="X28" s="6">
        <v>3</v>
      </c>
      <c r="Y28" s="6">
        <v>3</v>
      </c>
      <c r="Z28" s="6">
        <v>4.5</v>
      </c>
      <c r="AA28" s="6">
        <v>2.5</v>
      </c>
      <c r="AB28" s="6">
        <v>2</v>
      </c>
      <c r="AC28" s="6">
        <v>3</v>
      </c>
      <c r="AD28" s="6">
        <v>4</v>
      </c>
      <c r="AE28" s="6">
        <v>10.5</v>
      </c>
      <c r="AF28" s="6">
        <v>12.5</v>
      </c>
      <c r="AG28" s="6">
        <v>10</v>
      </c>
      <c r="AH28" s="6">
        <v>11</v>
      </c>
      <c r="AI28" s="64">
        <v>10.5</v>
      </c>
      <c r="AJ28" s="72">
        <v>9.5</v>
      </c>
      <c r="AK28" s="72">
        <v>13</v>
      </c>
      <c r="AL28" s="73">
        <v>12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spans="1:57" ht="17.399999999999999" customHeight="1">
      <c r="A29" s="68" t="s">
        <v>193</v>
      </c>
      <c r="B29" s="71" t="s">
        <v>65</v>
      </c>
      <c r="C29" s="6">
        <v>1</v>
      </c>
      <c r="D29" s="6">
        <v>8.5</v>
      </c>
      <c r="E29" s="6">
        <v>4</v>
      </c>
      <c r="F29" s="6">
        <v>8</v>
      </c>
      <c r="G29" s="6">
        <v>7</v>
      </c>
      <c r="H29" s="6">
        <v>0.5</v>
      </c>
      <c r="I29" s="6">
        <v>0.5</v>
      </c>
      <c r="J29" s="6">
        <v>2</v>
      </c>
      <c r="K29" s="6">
        <v>0</v>
      </c>
      <c r="L29" s="6">
        <v>1.5</v>
      </c>
      <c r="M29" s="6">
        <v>0.5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1.5</v>
      </c>
      <c r="V29" s="6">
        <v>5</v>
      </c>
      <c r="W29" s="6">
        <v>15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4">
        <v>0</v>
      </c>
      <c r="AJ29" s="72">
        <v>0</v>
      </c>
      <c r="AK29" s="72">
        <v>0</v>
      </c>
      <c r="AL29" s="72">
        <v>0</v>
      </c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spans="1:57" ht="17.399999999999999" customHeight="1">
      <c r="A30" s="68" t="s">
        <v>194</v>
      </c>
      <c r="B30" s="71" t="s">
        <v>66</v>
      </c>
      <c r="C30" s="6">
        <v>1.5</v>
      </c>
      <c r="D30" s="6">
        <v>3.5</v>
      </c>
      <c r="E30" s="6">
        <v>0.5</v>
      </c>
      <c r="F30" s="6">
        <v>2</v>
      </c>
      <c r="G30" s="6">
        <v>3</v>
      </c>
      <c r="H30" s="6">
        <v>4</v>
      </c>
      <c r="I30" s="6">
        <v>3.5</v>
      </c>
      <c r="J30" s="6">
        <v>4</v>
      </c>
      <c r="K30" s="6">
        <v>3.5</v>
      </c>
      <c r="L30" s="6">
        <v>3</v>
      </c>
      <c r="M30" s="6">
        <v>2</v>
      </c>
      <c r="N30" s="6">
        <v>2</v>
      </c>
      <c r="O30" s="6">
        <v>0</v>
      </c>
      <c r="P30" s="6">
        <v>0</v>
      </c>
      <c r="Q30" s="6">
        <v>0.5</v>
      </c>
      <c r="R30" s="6">
        <v>0</v>
      </c>
      <c r="S30" s="6">
        <v>2</v>
      </c>
      <c r="T30" s="6">
        <v>1</v>
      </c>
      <c r="U30" s="6">
        <v>2</v>
      </c>
      <c r="V30" s="6">
        <v>3</v>
      </c>
      <c r="W30" s="6">
        <v>0</v>
      </c>
      <c r="X30" s="6">
        <v>2.5</v>
      </c>
      <c r="Y30" s="6">
        <v>2.5</v>
      </c>
      <c r="Z30" s="6">
        <v>4.5</v>
      </c>
      <c r="AA30" s="6">
        <v>3.5</v>
      </c>
      <c r="AB30" s="6">
        <v>4.5</v>
      </c>
      <c r="AC30" s="6">
        <v>3.5</v>
      </c>
      <c r="AD30" s="6">
        <v>5.5</v>
      </c>
      <c r="AE30" s="6">
        <v>0</v>
      </c>
      <c r="AF30" s="6">
        <v>0</v>
      </c>
      <c r="AG30" s="6">
        <v>0</v>
      </c>
      <c r="AH30" s="6">
        <v>0</v>
      </c>
      <c r="AI30" s="64">
        <v>0</v>
      </c>
      <c r="AJ30" s="72">
        <v>0</v>
      </c>
      <c r="AK30" s="73">
        <v>0</v>
      </c>
      <c r="AL30" s="73">
        <v>0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spans="1:57" ht="17.399999999999999" customHeight="1">
      <c r="A31" s="68" t="s">
        <v>195</v>
      </c>
      <c r="B31" s="71" t="s">
        <v>67</v>
      </c>
      <c r="C31" s="6">
        <v>5</v>
      </c>
      <c r="D31" s="6">
        <v>10</v>
      </c>
      <c r="E31" s="6">
        <v>1</v>
      </c>
      <c r="F31" s="6">
        <v>1.5</v>
      </c>
      <c r="G31" s="6">
        <v>1.5</v>
      </c>
      <c r="H31" s="6">
        <v>1</v>
      </c>
      <c r="I31" s="6">
        <v>1</v>
      </c>
      <c r="J31" s="6">
        <v>1</v>
      </c>
      <c r="K31" s="6">
        <v>10</v>
      </c>
      <c r="L31" s="6">
        <v>1</v>
      </c>
      <c r="M31" s="6">
        <v>3</v>
      </c>
      <c r="N31" s="6">
        <v>1</v>
      </c>
      <c r="O31" s="6">
        <v>2</v>
      </c>
      <c r="P31" s="6">
        <v>2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4">
        <v>0</v>
      </c>
      <c r="AJ31" s="73">
        <v>0</v>
      </c>
      <c r="AK31" s="73">
        <v>0</v>
      </c>
      <c r="AL31" s="73">
        <v>0</v>
      </c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spans="1:57" ht="17.399999999999999" customHeight="1">
      <c r="A32" s="68" t="s">
        <v>196</v>
      </c>
      <c r="B32" s="71" t="s">
        <v>70</v>
      </c>
      <c r="C32" s="6">
        <v>0</v>
      </c>
      <c r="D32" s="6">
        <v>1</v>
      </c>
      <c r="E32" s="6">
        <v>3</v>
      </c>
      <c r="F32" s="6">
        <v>2</v>
      </c>
      <c r="G32" s="6">
        <v>2.5</v>
      </c>
      <c r="H32" s="6">
        <v>0.5</v>
      </c>
      <c r="I32" s="6">
        <v>0</v>
      </c>
      <c r="J32" s="6">
        <v>0</v>
      </c>
      <c r="K32" s="6">
        <v>0.5</v>
      </c>
      <c r="L32" s="6">
        <v>4</v>
      </c>
      <c r="M32" s="6">
        <v>4.5</v>
      </c>
      <c r="N32" s="6">
        <v>5</v>
      </c>
      <c r="O32" s="6">
        <v>10.5</v>
      </c>
      <c r="P32" s="6">
        <v>1.5</v>
      </c>
      <c r="Q32" s="6">
        <v>1.5</v>
      </c>
      <c r="R32" s="6">
        <v>1</v>
      </c>
      <c r="S32" s="6">
        <v>6</v>
      </c>
      <c r="T32" s="6">
        <v>5</v>
      </c>
      <c r="U32" s="6">
        <v>15</v>
      </c>
      <c r="V32" s="6">
        <v>0</v>
      </c>
      <c r="W32" s="6">
        <v>4</v>
      </c>
      <c r="X32" s="6">
        <v>0</v>
      </c>
      <c r="Y32" s="6">
        <v>16</v>
      </c>
      <c r="Z32" s="6">
        <v>9.5</v>
      </c>
      <c r="AA32" s="6">
        <v>8</v>
      </c>
      <c r="AB32" s="6">
        <v>9</v>
      </c>
      <c r="AC32" s="6">
        <v>7</v>
      </c>
      <c r="AD32" s="6">
        <v>12</v>
      </c>
      <c r="AE32" s="6">
        <v>5.5</v>
      </c>
      <c r="AF32" s="6">
        <v>6.5</v>
      </c>
      <c r="AG32" s="6">
        <v>7.5</v>
      </c>
      <c r="AH32" s="6">
        <v>5</v>
      </c>
      <c r="AI32" s="64">
        <v>12</v>
      </c>
      <c r="AJ32" s="72">
        <v>4.5</v>
      </c>
      <c r="AK32" s="72">
        <v>30</v>
      </c>
      <c r="AL32" s="73">
        <v>8.5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spans="1:73" ht="17.399999999999999" customHeight="1">
      <c r="A33" s="68" t="s">
        <v>69</v>
      </c>
      <c r="B33" s="71" t="s">
        <v>69</v>
      </c>
      <c r="C33" s="6">
        <v>3</v>
      </c>
      <c r="D33" s="6">
        <v>0.5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0.5</v>
      </c>
      <c r="AI33" s="64">
        <v>0</v>
      </c>
      <c r="AJ33" s="73">
        <v>0</v>
      </c>
      <c r="AK33" s="73">
        <v>0</v>
      </c>
      <c r="AL33" s="73">
        <v>0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spans="1:73" ht="17.399999999999999" customHeight="1">
      <c r="A34" s="68" t="s">
        <v>110</v>
      </c>
      <c r="B34" s="71" t="s">
        <v>111</v>
      </c>
      <c r="X34" s="6"/>
      <c r="Y34" s="6"/>
      <c r="Z34" s="6"/>
      <c r="AA34" s="6"/>
      <c r="AB34" s="6"/>
      <c r="AC34" s="6"/>
      <c r="AD34" s="6"/>
      <c r="AE34" s="6">
        <v>0</v>
      </c>
      <c r="AF34" s="6">
        <v>0.5</v>
      </c>
      <c r="AG34" s="6">
        <v>0.5</v>
      </c>
      <c r="AH34" s="6">
        <v>0.5</v>
      </c>
      <c r="AI34" s="64">
        <v>0.5</v>
      </c>
      <c r="AJ34" s="73">
        <v>1</v>
      </c>
      <c r="AK34" s="73">
        <v>0.5</v>
      </c>
      <c r="AL34" s="73">
        <v>0.5</v>
      </c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spans="1:73" ht="17.399999999999999" customHeight="1">
      <c r="A35" s="68" t="s">
        <v>84</v>
      </c>
      <c r="B35" s="71" t="s">
        <v>84</v>
      </c>
      <c r="C35" s="68"/>
      <c r="E35" s="6">
        <v>0</v>
      </c>
      <c r="F35" s="6">
        <v>0</v>
      </c>
      <c r="G35" s="6">
        <v>0.5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0.5</v>
      </c>
      <c r="W35" s="6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6">
        <v>0</v>
      </c>
      <c r="AF35" s="6">
        <v>0</v>
      </c>
      <c r="AG35" s="6">
        <v>0</v>
      </c>
      <c r="AH35" s="6">
        <v>0</v>
      </c>
      <c r="AI35" s="64">
        <v>0</v>
      </c>
      <c r="AJ35" s="72">
        <v>0</v>
      </c>
      <c r="AK35" s="72">
        <v>0</v>
      </c>
      <c r="AL35" s="72">
        <v>0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spans="1:73" ht="17.399999999999999" customHeight="1">
      <c r="A36" s="68" t="s">
        <v>197</v>
      </c>
      <c r="B36" s="71" t="s">
        <v>79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4">
        <v>0</v>
      </c>
      <c r="AJ36" s="72">
        <v>0</v>
      </c>
      <c r="AK36" s="72">
        <v>0</v>
      </c>
      <c r="AL36" s="73">
        <v>0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spans="1:73" ht="17.399999999999999" customHeight="1">
      <c r="A37" s="68" t="s">
        <v>198</v>
      </c>
      <c r="B37" s="71" t="s">
        <v>80</v>
      </c>
      <c r="C37" s="6">
        <v>0</v>
      </c>
      <c r="D37" s="6">
        <v>0</v>
      </c>
      <c r="E37" s="6">
        <v>1.5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1</v>
      </c>
      <c r="L37" s="6">
        <v>2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6">
        <v>0</v>
      </c>
      <c r="AF37" s="6">
        <v>0</v>
      </c>
      <c r="AG37" s="6">
        <v>0</v>
      </c>
      <c r="AH37" s="6">
        <v>0</v>
      </c>
      <c r="AI37" s="64">
        <v>0</v>
      </c>
      <c r="AJ37" s="72">
        <v>0</v>
      </c>
      <c r="AK37" s="72">
        <v>0</v>
      </c>
      <c r="AL37" s="72">
        <v>0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spans="1:73" ht="17.399999999999999" customHeight="1">
      <c r="A38" s="68" t="s">
        <v>224</v>
      </c>
      <c r="B38" s="71" t="s">
        <v>225</v>
      </c>
      <c r="C38" s="6">
        <v>125.5</v>
      </c>
      <c r="D38" s="6">
        <v>135.5</v>
      </c>
      <c r="E38" s="6">
        <v>101</v>
      </c>
      <c r="F38" s="6">
        <v>153</v>
      </c>
      <c r="G38" s="6">
        <v>179</v>
      </c>
      <c r="H38" s="6">
        <v>73.5</v>
      </c>
      <c r="I38" s="6">
        <v>145.5</v>
      </c>
      <c r="J38" s="6">
        <v>118</v>
      </c>
      <c r="K38" s="6">
        <v>225.5</v>
      </c>
      <c r="L38" s="6">
        <v>116.5</v>
      </c>
      <c r="M38" s="6">
        <v>127</v>
      </c>
      <c r="N38" s="6">
        <v>42.5</v>
      </c>
      <c r="O38" s="6">
        <v>93.5</v>
      </c>
      <c r="P38" s="6">
        <v>231.5</v>
      </c>
      <c r="Q38" s="6">
        <v>186</v>
      </c>
      <c r="R38" s="6">
        <v>189</v>
      </c>
      <c r="S38" s="6">
        <v>224</v>
      </c>
      <c r="T38" s="6">
        <v>162</v>
      </c>
      <c r="U38" s="6">
        <v>96</v>
      </c>
      <c r="V38" s="6">
        <v>78</v>
      </c>
      <c r="W38" s="6">
        <v>82</v>
      </c>
      <c r="X38" s="6">
        <v>96.5</v>
      </c>
      <c r="Y38" s="6">
        <v>153</v>
      </c>
      <c r="Z38" s="6">
        <v>53</v>
      </c>
      <c r="AA38" s="6">
        <v>224.5</v>
      </c>
      <c r="AB38" s="6">
        <v>97.5</v>
      </c>
      <c r="AC38" s="6">
        <v>90.5</v>
      </c>
      <c r="AD38" s="6">
        <v>180</v>
      </c>
      <c r="AE38" s="6">
        <v>145</v>
      </c>
      <c r="AF38" s="6">
        <v>250.5</v>
      </c>
      <c r="AG38" s="6">
        <v>167.5</v>
      </c>
      <c r="AH38" s="6">
        <v>151.5</v>
      </c>
      <c r="AI38" s="64">
        <v>176</v>
      </c>
      <c r="AJ38" s="76">
        <v>204.5</v>
      </c>
      <c r="AK38" s="76">
        <v>180</v>
      </c>
      <c r="AL38" s="76">
        <v>190</v>
      </c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spans="1:73" ht="17.399999999999999" customHeight="1">
      <c r="A39" s="68" t="s">
        <v>103</v>
      </c>
      <c r="B39" s="71" t="s">
        <v>103</v>
      </c>
      <c r="X39" s="6"/>
      <c r="Y39" s="6"/>
      <c r="Z39" s="6">
        <v>1</v>
      </c>
      <c r="AA39" s="6">
        <v>1</v>
      </c>
      <c r="AB39" s="6">
        <v>1</v>
      </c>
      <c r="AC39" s="6">
        <v>1</v>
      </c>
      <c r="AD39" s="6">
        <v>1</v>
      </c>
      <c r="AE39" s="6">
        <v>1</v>
      </c>
      <c r="AF39" s="6">
        <v>1</v>
      </c>
      <c r="AG39" s="6">
        <v>1</v>
      </c>
      <c r="AH39" s="6">
        <v>1</v>
      </c>
      <c r="AI39" s="64">
        <v>0.5</v>
      </c>
      <c r="AJ39" s="72">
        <v>0.5</v>
      </c>
      <c r="AK39" s="72">
        <v>1</v>
      </c>
      <c r="AL39" s="73">
        <v>1</v>
      </c>
      <c r="AM39" s="6"/>
      <c r="AN39" s="10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spans="1:73" ht="17.399999999999999" customHeight="1">
      <c r="A40" s="68"/>
      <c r="B40" s="71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92"/>
      <c r="AJ40" s="79"/>
      <c r="AK40" s="79"/>
      <c r="AL40" s="79"/>
      <c r="AM40" s="44"/>
      <c r="AN40" s="44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spans="1:73" s="80" customFormat="1" ht="17.399999999999999" customHeight="1">
      <c r="A41" s="81" t="s">
        <v>200</v>
      </c>
      <c r="B41" s="82"/>
      <c r="C41" s="35">
        <f>SUM(C16:C38)</f>
        <v>139</v>
      </c>
      <c r="D41" s="35">
        <f>SUM(D16:D38)</f>
        <v>162</v>
      </c>
      <c r="E41" s="35">
        <f>SUM(E16:E38)</f>
        <v>112.5</v>
      </c>
      <c r="F41" s="35">
        <f>SUM(F16:F38)</f>
        <v>168.5</v>
      </c>
      <c r="G41" s="35">
        <f>SUM(G16:G38)</f>
        <v>197.5</v>
      </c>
      <c r="H41" s="35">
        <f>SUM(H17:H38)</f>
        <v>86</v>
      </c>
      <c r="I41" s="35">
        <f>SUM(I16:I38)</f>
        <v>161.5</v>
      </c>
      <c r="J41" s="35">
        <f t="shared" ref="J41:X41" si="0">SUM(J16:J38)</f>
        <v>137</v>
      </c>
      <c r="K41" s="35">
        <f t="shared" si="0"/>
        <v>250.5</v>
      </c>
      <c r="L41" s="35">
        <f t="shared" si="0"/>
        <v>143</v>
      </c>
      <c r="M41" s="35">
        <f t="shared" si="0"/>
        <v>152</v>
      </c>
      <c r="N41" s="35">
        <f t="shared" si="0"/>
        <v>64.5</v>
      </c>
      <c r="O41" s="35">
        <f t="shared" si="0"/>
        <v>113</v>
      </c>
      <c r="P41" s="35">
        <f t="shared" si="0"/>
        <v>247</v>
      </c>
      <c r="Q41" s="35">
        <f t="shared" si="0"/>
        <v>196.5</v>
      </c>
      <c r="R41" s="35">
        <f t="shared" si="0"/>
        <v>206.5</v>
      </c>
      <c r="S41" s="35">
        <f t="shared" si="0"/>
        <v>243</v>
      </c>
      <c r="T41" s="35">
        <f t="shared" si="0"/>
        <v>185.5</v>
      </c>
      <c r="U41" s="35">
        <f t="shared" si="0"/>
        <v>132</v>
      </c>
      <c r="V41" s="35">
        <f t="shared" si="0"/>
        <v>117.5</v>
      </c>
      <c r="W41" s="35">
        <f t="shared" si="0"/>
        <v>122</v>
      </c>
      <c r="X41" s="35">
        <f t="shared" si="0"/>
        <v>117.5</v>
      </c>
      <c r="Y41" s="35">
        <f>SUM(Y16:Y38)</f>
        <v>189</v>
      </c>
      <c r="Z41" s="35">
        <f>SUM(Z16:Z39)</f>
        <v>85.5</v>
      </c>
      <c r="AA41" s="35">
        <f>SUM(AA16:AA39)</f>
        <v>254.5</v>
      </c>
      <c r="AB41" s="146">
        <f>SUM(AB16:AB39)</f>
        <v>123</v>
      </c>
      <c r="AC41" s="146">
        <f>SUM(AC16:AC39)</f>
        <v>110.5</v>
      </c>
      <c r="AD41" s="146">
        <f>SUM(AD16:AD39)</f>
        <v>211.5</v>
      </c>
      <c r="AE41" s="35">
        <v>173</v>
      </c>
      <c r="AF41" s="35">
        <v>282.5</v>
      </c>
      <c r="AG41" s="35">
        <v>199</v>
      </c>
      <c r="AH41" s="35">
        <v>215.5</v>
      </c>
      <c r="AI41" s="83">
        <v>246</v>
      </c>
      <c r="AJ41" s="84">
        <f>SUM(AJ16:AJ39)</f>
        <v>249</v>
      </c>
      <c r="AK41" s="84">
        <f>SUM(AK16:AK39)</f>
        <v>238.5</v>
      </c>
      <c r="AL41" s="84">
        <f>SUM(AL16:AL39)</f>
        <v>231</v>
      </c>
      <c r="AM41" s="6"/>
      <c r="AN41" s="85"/>
      <c r="AO41" s="39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</row>
    <row r="42" spans="1:73" ht="17.399999999999999" customHeight="1" thickBot="1">
      <c r="A42" s="86"/>
      <c r="B42" s="8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90"/>
      <c r="AJ42" s="91"/>
      <c r="AK42" s="91"/>
      <c r="AL42" s="91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spans="1:73" ht="17.399999999999999" customHeight="1">
      <c r="A43" s="68"/>
      <c r="B43" s="71"/>
      <c r="C43" s="68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92"/>
      <c r="AJ43" s="79"/>
      <c r="AK43" s="79"/>
      <c r="AL43" s="79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spans="1:73" ht="17.399999999999999" customHeight="1">
      <c r="A44" s="68" t="s">
        <v>185</v>
      </c>
      <c r="B44" s="71" t="s">
        <v>75</v>
      </c>
      <c r="C44" s="68">
        <v>6.5</v>
      </c>
      <c r="D44" s="6">
        <v>7</v>
      </c>
      <c r="E44" s="6">
        <v>7</v>
      </c>
      <c r="F44" s="6">
        <v>5</v>
      </c>
      <c r="G44" s="6">
        <v>5</v>
      </c>
      <c r="H44" s="6">
        <v>4</v>
      </c>
      <c r="I44" s="6">
        <v>5</v>
      </c>
      <c r="J44" s="6">
        <v>5</v>
      </c>
      <c r="K44" s="6">
        <v>5.5</v>
      </c>
      <c r="L44" s="6">
        <v>4.5</v>
      </c>
      <c r="M44" s="6">
        <v>4</v>
      </c>
      <c r="N44" s="6">
        <v>5</v>
      </c>
      <c r="O44" s="6">
        <v>7</v>
      </c>
      <c r="P44" s="6">
        <v>7.5</v>
      </c>
      <c r="Q44" s="6">
        <v>5.5</v>
      </c>
      <c r="R44" s="6">
        <v>4.5</v>
      </c>
      <c r="S44" s="6">
        <v>4</v>
      </c>
      <c r="T44" s="6">
        <v>5</v>
      </c>
      <c r="U44" s="6">
        <v>5.5</v>
      </c>
      <c r="V44" s="6">
        <v>5.5</v>
      </c>
      <c r="W44" s="6">
        <v>13.5</v>
      </c>
      <c r="X44" s="9">
        <v>13.5</v>
      </c>
      <c r="Y44" s="9">
        <v>19.5</v>
      </c>
      <c r="Z44" s="9">
        <v>20</v>
      </c>
      <c r="AA44" s="9">
        <v>22</v>
      </c>
      <c r="AB44" s="9">
        <v>22</v>
      </c>
      <c r="AC44" s="9">
        <v>23</v>
      </c>
      <c r="AD44" s="9">
        <v>33.5</v>
      </c>
      <c r="AE44" s="9">
        <v>34.5</v>
      </c>
      <c r="AF44" s="9">
        <v>38.5</v>
      </c>
      <c r="AG44" s="9">
        <v>28</v>
      </c>
      <c r="AH44" s="9"/>
      <c r="AI44" s="69"/>
      <c r="AJ44" s="70"/>
      <c r="AK44" s="70"/>
      <c r="AL44" s="70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spans="1:73" ht="17.399999999999999" customHeight="1">
      <c r="A45" s="68" t="s">
        <v>201</v>
      </c>
      <c r="B45" s="71" t="s">
        <v>51</v>
      </c>
      <c r="C45" s="68">
        <v>13.5</v>
      </c>
      <c r="D45" s="6">
        <v>12.5</v>
      </c>
      <c r="E45" s="6">
        <v>17</v>
      </c>
      <c r="F45" s="6">
        <v>16</v>
      </c>
      <c r="G45" s="6">
        <v>19</v>
      </c>
      <c r="H45" s="6">
        <v>16</v>
      </c>
      <c r="I45" s="6">
        <v>21.5</v>
      </c>
      <c r="J45" s="6">
        <v>17.5</v>
      </c>
      <c r="K45" s="6">
        <v>23.5</v>
      </c>
      <c r="L45" s="6">
        <v>25</v>
      </c>
      <c r="M45" s="6">
        <v>30</v>
      </c>
      <c r="N45" s="6">
        <v>26.5</v>
      </c>
      <c r="O45" s="6">
        <v>31.5</v>
      </c>
      <c r="P45" s="6">
        <v>31</v>
      </c>
      <c r="Q45" s="6">
        <v>28.5</v>
      </c>
      <c r="R45" s="6">
        <v>29</v>
      </c>
      <c r="S45" s="6">
        <v>41.5</v>
      </c>
      <c r="T45" s="6">
        <v>27</v>
      </c>
      <c r="U45" s="6">
        <v>28.5</v>
      </c>
      <c r="V45" s="6">
        <v>35</v>
      </c>
      <c r="W45" s="6">
        <v>32</v>
      </c>
      <c r="X45" s="9">
        <v>31.5</v>
      </c>
      <c r="Y45" s="9">
        <v>28.5</v>
      </c>
      <c r="Z45" s="9">
        <v>28</v>
      </c>
      <c r="AA45" s="9">
        <v>22</v>
      </c>
      <c r="AB45" s="9">
        <v>26</v>
      </c>
      <c r="AC45" s="9">
        <v>29</v>
      </c>
      <c r="AD45" s="9">
        <v>31</v>
      </c>
      <c r="AE45" s="9">
        <v>32</v>
      </c>
      <c r="AF45" s="9">
        <v>36</v>
      </c>
      <c r="AG45" s="9">
        <v>36</v>
      </c>
      <c r="AH45" s="9">
        <v>33.5</v>
      </c>
      <c r="AI45" s="69">
        <v>27.5</v>
      </c>
      <c r="AJ45" s="93">
        <v>29</v>
      </c>
      <c r="AK45" s="93">
        <v>42</v>
      </c>
      <c r="AL45" s="93">
        <v>39.5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spans="1:73" ht="17.399999999999999" customHeight="1">
      <c r="A46" s="68" t="s">
        <v>202</v>
      </c>
      <c r="B46" s="71" t="s">
        <v>52</v>
      </c>
      <c r="C46" s="68">
        <v>13.5</v>
      </c>
      <c r="D46" s="6">
        <v>11</v>
      </c>
      <c r="E46" s="6">
        <v>17</v>
      </c>
      <c r="F46" s="6">
        <v>14.5</v>
      </c>
      <c r="G46" s="6">
        <v>23.5</v>
      </c>
      <c r="H46" s="6">
        <v>19</v>
      </c>
      <c r="I46" s="6">
        <v>24.5</v>
      </c>
      <c r="J46" s="6">
        <v>29</v>
      </c>
      <c r="K46" s="6">
        <v>23.5</v>
      </c>
      <c r="L46" s="6">
        <v>25</v>
      </c>
      <c r="M46" s="6">
        <v>25</v>
      </c>
      <c r="N46" s="6">
        <v>22.5</v>
      </c>
      <c r="O46" s="6">
        <v>21</v>
      </c>
      <c r="P46" s="6">
        <v>23.5</v>
      </c>
      <c r="Q46" s="6">
        <v>26.5</v>
      </c>
      <c r="R46" s="6">
        <v>26</v>
      </c>
      <c r="S46" s="6">
        <v>34.5</v>
      </c>
      <c r="T46" s="6">
        <v>40</v>
      </c>
      <c r="U46" s="6">
        <v>42</v>
      </c>
      <c r="V46" s="6">
        <v>50.5</v>
      </c>
      <c r="W46" s="6">
        <v>61.5</v>
      </c>
      <c r="X46" s="9">
        <v>68</v>
      </c>
      <c r="Y46" s="9">
        <v>73</v>
      </c>
      <c r="Z46" s="9">
        <v>72.5</v>
      </c>
      <c r="AA46" s="9">
        <v>66.5</v>
      </c>
      <c r="AB46" s="9">
        <v>50</v>
      </c>
      <c r="AC46" s="9">
        <v>59.5</v>
      </c>
      <c r="AD46" s="9">
        <v>76.5</v>
      </c>
      <c r="AE46" s="9">
        <v>86</v>
      </c>
      <c r="AF46" s="9">
        <v>104</v>
      </c>
      <c r="AG46" s="9">
        <v>106.5</v>
      </c>
      <c r="AH46" s="9">
        <v>103.5</v>
      </c>
      <c r="AI46" s="69">
        <v>91</v>
      </c>
      <c r="AJ46" s="93">
        <v>81</v>
      </c>
      <c r="AK46" s="93">
        <v>77</v>
      </c>
      <c r="AL46" s="93">
        <v>78.5</v>
      </c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spans="1:73" ht="17.399999999999999" customHeight="1">
      <c r="A47" s="68" t="s">
        <v>53</v>
      </c>
      <c r="B47" s="71" t="s">
        <v>53</v>
      </c>
      <c r="C47" s="68">
        <v>10</v>
      </c>
      <c r="D47" s="6">
        <v>10</v>
      </c>
      <c r="E47" s="6">
        <v>13</v>
      </c>
      <c r="F47" s="6">
        <v>12</v>
      </c>
      <c r="G47" s="6">
        <v>15</v>
      </c>
      <c r="H47" s="6">
        <v>14</v>
      </c>
      <c r="I47" s="6">
        <v>19</v>
      </c>
      <c r="J47" s="6">
        <v>17.5</v>
      </c>
      <c r="K47" s="6">
        <v>18.5</v>
      </c>
      <c r="L47" s="6">
        <v>23</v>
      </c>
      <c r="M47" s="6">
        <v>25.5</v>
      </c>
      <c r="N47" s="6">
        <v>24</v>
      </c>
      <c r="O47" s="6">
        <v>25</v>
      </c>
      <c r="P47" s="6">
        <v>26</v>
      </c>
      <c r="Q47" s="6">
        <v>32</v>
      </c>
      <c r="R47" s="6">
        <v>30</v>
      </c>
      <c r="S47" s="6">
        <v>32.5</v>
      </c>
      <c r="T47" s="6">
        <v>29</v>
      </c>
      <c r="U47" s="6">
        <v>30</v>
      </c>
      <c r="V47" s="6">
        <v>37</v>
      </c>
      <c r="W47" s="6">
        <v>40</v>
      </c>
      <c r="X47" s="9">
        <v>39.5</v>
      </c>
      <c r="Y47" s="9">
        <v>37</v>
      </c>
      <c r="Z47" s="9">
        <v>40.5</v>
      </c>
      <c r="AA47" s="9">
        <v>37.5</v>
      </c>
      <c r="AB47" s="9">
        <v>41</v>
      </c>
      <c r="AC47" s="9">
        <v>39.5</v>
      </c>
      <c r="AD47" s="9">
        <v>47</v>
      </c>
      <c r="AE47" s="9">
        <v>46.5</v>
      </c>
      <c r="AF47" s="9">
        <v>57.5</v>
      </c>
      <c r="AG47" s="9">
        <v>58</v>
      </c>
      <c r="AH47" s="9">
        <v>53.5</v>
      </c>
      <c r="AI47" s="69">
        <v>48</v>
      </c>
      <c r="AJ47" s="93">
        <v>50</v>
      </c>
      <c r="AK47" s="93">
        <v>73.5</v>
      </c>
      <c r="AL47" s="93">
        <v>74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spans="1:73" ht="17.399999999999999" customHeight="1">
      <c r="A48" s="68" t="s">
        <v>203</v>
      </c>
      <c r="B48" s="71" t="s">
        <v>54</v>
      </c>
      <c r="C48" s="74"/>
      <c r="D48" s="10"/>
      <c r="E48" s="10"/>
      <c r="F48" s="10"/>
      <c r="G48" s="10"/>
      <c r="H48" s="10"/>
      <c r="I48" s="10"/>
      <c r="J48" s="10"/>
      <c r="K48" s="10"/>
      <c r="L48" s="10"/>
      <c r="P48" s="6" t="s">
        <v>226</v>
      </c>
      <c r="S48" s="6">
        <v>1</v>
      </c>
      <c r="T48" s="6">
        <v>0.5</v>
      </c>
      <c r="U48" s="6">
        <v>1</v>
      </c>
      <c r="V48" s="6">
        <v>0.5</v>
      </c>
      <c r="W48" s="6">
        <v>0.5</v>
      </c>
      <c r="X48" s="9">
        <v>1</v>
      </c>
      <c r="Y48" s="9">
        <v>0.5</v>
      </c>
      <c r="Z48" s="9">
        <v>1</v>
      </c>
      <c r="AA48" s="9">
        <v>0.5</v>
      </c>
      <c r="AB48" s="9">
        <v>0.5</v>
      </c>
      <c r="AC48" s="9">
        <v>1</v>
      </c>
      <c r="AD48" s="9">
        <v>2.5</v>
      </c>
      <c r="AE48" s="9">
        <v>1.5</v>
      </c>
      <c r="AF48" s="9">
        <v>1.5</v>
      </c>
      <c r="AG48" s="9">
        <v>2</v>
      </c>
      <c r="AH48" s="9">
        <v>3</v>
      </c>
      <c r="AI48" s="69">
        <v>2.5</v>
      </c>
      <c r="AJ48" s="93">
        <v>4.5</v>
      </c>
      <c r="AK48" s="93">
        <v>4.5</v>
      </c>
      <c r="AL48" s="93">
        <v>4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spans="1:57" ht="17.399999999999999" customHeight="1">
      <c r="A49" s="68" t="s">
        <v>96</v>
      </c>
      <c r="B49" s="71" t="s">
        <v>96</v>
      </c>
      <c r="C49" s="74"/>
      <c r="D49" s="10"/>
      <c r="E49" s="10"/>
      <c r="F49" s="10"/>
      <c r="G49" s="10"/>
      <c r="H49" s="10"/>
      <c r="I49" s="10"/>
      <c r="J49" s="10"/>
      <c r="K49" s="10"/>
      <c r="L49" s="10"/>
      <c r="U49" s="6">
        <v>12</v>
      </c>
      <c r="V49" s="6">
        <v>18</v>
      </c>
      <c r="W49" s="6">
        <v>29.5</v>
      </c>
      <c r="X49" s="9">
        <v>40</v>
      </c>
      <c r="Y49" s="9">
        <v>39</v>
      </c>
      <c r="Z49" s="9">
        <v>32</v>
      </c>
      <c r="AA49" s="9">
        <v>31</v>
      </c>
      <c r="AB49" s="9">
        <v>34</v>
      </c>
      <c r="AC49" s="9">
        <v>39</v>
      </c>
      <c r="AD49" s="9">
        <v>38</v>
      </c>
      <c r="AE49" s="9">
        <v>46</v>
      </c>
      <c r="AF49" s="9">
        <v>50.5</v>
      </c>
      <c r="AG49" s="9">
        <v>45.5</v>
      </c>
      <c r="AH49" s="9">
        <v>49.5</v>
      </c>
      <c r="AI49" s="69">
        <v>34</v>
      </c>
      <c r="AJ49" s="93">
        <v>19</v>
      </c>
      <c r="AK49" s="93">
        <v>32.5</v>
      </c>
      <c r="AL49" s="93">
        <v>43.5</v>
      </c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spans="1:57" ht="17.399999999999999" customHeight="1">
      <c r="A50" s="68" t="s">
        <v>204</v>
      </c>
      <c r="B50" s="71" t="s">
        <v>81</v>
      </c>
      <c r="C50" s="68">
        <v>90</v>
      </c>
      <c r="D50" s="6">
        <v>87.5</v>
      </c>
      <c r="E50" s="6">
        <v>108.5</v>
      </c>
      <c r="F50" s="6">
        <v>111.5</v>
      </c>
      <c r="G50" s="6">
        <v>121.5</v>
      </c>
      <c r="H50" s="6">
        <v>105</v>
      </c>
      <c r="I50" s="6">
        <v>140.5</v>
      </c>
      <c r="J50" s="6">
        <v>144</v>
      </c>
      <c r="K50" s="6">
        <v>155</v>
      </c>
      <c r="L50" s="6">
        <v>175</v>
      </c>
      <c r="M50" s="6">
        <v>200</v>
      </c>
      <c r="N50" s="6">
        <v>193</v>
      </c>
      <c r="O50" s="6">
        <v>191.5</v>
      </c>
      <c r="P50" s="6">
        <v>226</v>
      </c>
      <c r="Q50" s="6">
        <v>221</v>
      </c>
      <c r="R50" s="6">
        <v>232</v>
      </c>
      <c r="S50" s="6">
        <v>250</v>
      </c>
      <c r="T50" s="6">
        <v>245</v>
      </c>
      <c r="U50" s="6">
        <v>255</v>
      </c>
      <c r="V50" s="6">
        <v>258</v>
      </c>
      <c r="W50" s="6">
        <v>275</v>
      </c>
      <c r="X50" s="9">
        <v>300</v>
      </c>
      <c r="Y50" s="9">
        <v>288</v>
      </c>
      <c r="Z50" s="9">
        <v>302.5</v>
      </c>
      <c r="AA50" s="9">
        <v>294.5</v>
      </c>
      <c r="AB50" s="9">
        <v>314</v>
      </c>
      <c r="AC50" s="9">
        <v>305</v>
      </c>
      <c r="AD50" s="9">
        <v>310.5</v>
      </c>
      <c r="AE50" s="9">
        <v>346.5</v>
      </c>
      <c r="AF50" s="9">
        <v>391</v>
      </c>
      <c r="AG50" s="9">
        <v>379.5</v>
      </c>
      <c r="AH50" s="9">
        <v>399</v>
      </c>
      <c r="AI50" s="69">
        <v>358.5</v>
      </c>
      <c r="AJ50" s="93">
        <v>362.5</v>
      </c>
      <c r="AK50" s="93">
        <v>447</v>
      </c>
      <c r="AL50" s="93">
        <v>465</v>
      </c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spans="1:57" ht="17.399999999999999" customHeight="1">
      <c r="A51" s="68" t="s">
        <v>205</v>
      </c>
      <c r="B51" s="71" t="s">
        <v>64</v>
      </c>
      <c r="C51" s="68">
        <v>4</v>
      </c>
      <c r="D51" s="6">
        <v>4.5</v>
      </c>
      <c r="E51" s="6">
        <v>5</v>
      </c>
      <c r="F51" s="6">
        <v>6.5</v>
      </c>
      <c r="G51" s="6">
        <v>8.5</v>
      </c>
      <c r="H51" s="6">
        <v>16.5</v>
      </c>
      <c r="I51" s="6">
        <v>26</v>
      </c>
      <c r="J51" s="6">
        <v>34</v>
      </c>
      <c r="K51" s="6">
        <v>28.5</v>
      </c>
      <c r="L51" s="6">
        <v>27</v>
      </c>
      <c r="M51" s="6">
        <v>29</v>
      </c>
      <c r="N51" s="6">
        <v>31.5</v>
      </c>
      <c r="O51" s="6">
        <v>30.5</v>
      </c>
      <c r="P51" s="6">
        <v>32</v>
      </c>
      <c r="Q51" s="6">
        <v>32</v>
      </c>
      <c r="R51" s="6">
        <v>30</v>
      </c>
      <c r="S51" s="6">
        <v>30.5</v>
      </c>
      <c r="T51" s="6">
        <v>29</v>
      </c>
      <c r="U51" s="6">
        <v>30</v>
      </c>
      <c r="V51" s="6">
        <v>40.5</v>
      </c>
      <c r="W51" s="6">
        <v>35.5</v>
      </c>
      <c r="X51" s="9">
        <v>43</v>
      </c>
      <c r="Y51" s="9">
        <v>51</v>
      </c>
      <c r="Z51" s="9">
        <v>54</v>
      </c>
      <c r="AA51" s="9">
        <v>59</v>
      </c>
      <c r="AB51" s="9">
        <v>53.5</v>
      </c>
      <c r="AC51" s="9">
        <v>54.5</v>
      </c>
      <c r="AD51" s="9">
        <v>55.5</v>
      </c>
      <c r="AE51" s="9">
        <v>69</v>
      </c>
      <c r="AF51" s="9">
        <v>69.5</v>
      </c>
      <c r="AG51" s="9">
        <v>59</v>
      </c>
      <c r="AH51" s="9">
        <v>62.5</v>
      </c>
      <c r="AI51" s="69">
        <v>52</v>
      </c>
      <c r="AJ51" s="93">
        <v>45.5</v>
      </c>
      <c r="AK51" s="93">
        <v>34</v>
      </c>
      <c r="AL51" s="93">
        <v>45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spans="1:57" ht="17.399999999999999" customHeight="1">
      <c r="A52" s="68" t="s">
        <v>206</v>
      </c>
      <c r="B52" s="71" t="s">
        <v>68</v>
      </c>
      <c r="C52" s="68">
        <v>1.5</v>
      </c>
      <c r="D52" s="6">
        <v>2</v>
      </c>
      <c r="E52" s="6">
        <v>2</v>
      </c>
      <c r="F52" s="6">
        <v>2</v>
      </c>
      <c r="G52" s="6">
        <v>1</v>
      </c>
      <c r="H52" s="6">
        <v>1</v>
      </c>
      <c r="I52" s="6">
        <v>3.5</v>
      </c>
      <c r="J52" s="6">
        <v>2.5</v>
      </c>
      <c r="K52" s="6">
        <v>2.5</v>
      </c>
      <c r="L52" s="6">
        <v>4</v>
      </c>
      <c r="M52" s="6">
        <v>5</v>
      </c>
      <c r="N52" s="6">
        <v>6</v>
      </c>
      <c r="O52" s="6">
        <v>10</v>
      </c>
      <c r="P52" s="6">
        <v>10</v>
      </c>
      <c r="Q52" s="6">
        <v>10</v>
      </c>
      <c r="R52" s="6">
        <v>9.5</v>
      </c>
      <c r="S52" s="6">
        <v>10</v>
      </c>
      <c r="T52" s="6">
        <v>10</v>
      </c>
      <c r="U52" s="6">
        <v>9.5</v>
      </c>
      <c r="V52" s="6">
        <v>9</v>
      </c>
      <c r="W52" s="6">
        <v>10</v>
      </c>
      <c r="X52" s="9">
        <v>11.5</v>
      </c>
      <c r="Y52" s="9">
        <v>14.5</v>
      </c>
      <c r="Z52" s="9">
        <v>15.5</v>
      </c>
      <c r="AA52" s="9">
        <v>16</v>
      </c>
      <c r="AB52" s="9">
        <v>15</v>
      </c>
      <c r="AC52" s="9">
        <v>14</v>
      </c>
      <c r="AD52" s="9">
        <v>15</v>
      </c>
      <c r="AE52" s="9">
        <v>16.5</v>
      </c>
      <c r="AF52" s="9">
        <v>20.5</v>
      </c>
      <c r="AG52" s="9">
        <v>21.5</v>
      </c>
      <c r="AH52" s="9">
        <v>23.5</v>
      </c>
      <c r="AI52" s="69">
        <v>18</v>
      </c>
      <c r="AJ52" s="93">
        <v>13</v>
      </c>
      <c r="AK52" s="93">
        <v>13</v>
      </c>
      <c r="AL52" s="93">
        <v>13.5</v>
      </c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spans="1:57" ht="17.399999999999999" customHeight="1">
      <c r="A53" s="68" t="s">
        <v>207</v>
      </c>
      <c r="B53" s="71" t="s">
        <v>97</v>
      </c>
      <c r="C53" s="68"/>
      <c r="S53" s="6">
        <v>3.5</v>
      </c>
      <c r="T53" s="6">
        <v>3.5</v>
      </c>
      <c r="U53" s="6">
        <v>3</v>
      </c>
      <c r="V53" s="6">
        <v>3.5</v>
      </c>
      <c r="W53" s="6">
        <v>3</v>
      </c>
      <c r="X53" s="9">
        <v>3</v>
      </c>
      <c r="Y53" s="9">
        <v>3.5</v>
      </c>
      <c r="Z53" s="9">
        <v>4</v>
      </c>
      <c r="AA53" s="9">
        <v>4</v>
      </c>
      <c r="AB53" s="9">
        <v>4</v>
      </c>
      <c r="AC53" s="9">
        <v>4</v>
      </c>
      <c r="AD53" s="9">
        <v>4</v>
      </c>
      <c r="AE53" s="9">
        <v>4</v>
      </c>
      <c r="AF53" s="9">
        <v>4.5</v>
      </c>
      <c r="AG53" s="9">
        <v>4</v>
      </c>
      <c r="AH53" s="9">
        <v>5</v>
      </c>
      <c r="AI53" s="69">
        <v>4</v>
      </c>
      <c r="AJ53" s="93">
        <v>4</v>
      </c>
      <c r="AK53" s="93">
        <v>4</v>
      </c>
      <c r="AL53" s="93">
        <v>4</v>
      </c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spans="1:57" ht="17.399999999999999" customHeight="1">
      <c r="A54" s="68" t="s">
        <v>208</v>
      </c>
      <c r="B54" s="71" t="s">
        <v>74</v>
      </c>
      <c r="C54" s="68">
        <v>5</v>
      </c>
      <c r="D54" s="6">
        <v>9</v>
      </c>
      <c r="E54" s="6">
        <v>5</v>
      </c>
      <c r="F54" s="6">
        <v>6</v>
      </c>
      <c r="G54" s="6">
        <v>5.5</v>
      </c>
      <c r="H54" s="6">
        <v>1</v>
      </c>
      <c r="I54" s="6">
        <v>1.5</v>
      </c>
      <c r="J54" s="6">
        <v>1.5</v>
      </c>
      <c r="K54" s="6">
        <v>2</v>
      </c>
      <c r="L54" s="6">
        <v>3</v>
      </c>
      <c r="M54" s="6">
        <v>4</v>
      </c>
      <c r="N54" s="6">
        <v>4</v>
      </c>
      <c r="O54" s="6">
        <v>6</v>
      </c>
      <c r="P54" s="6">
        <v>7</v>
      </c>
      <c r="Q54" s="6">
        <v>9</v>
      </c>
      <c r="R54" s="6">
        <v>9.5</v>
      </c>
      <c r="S54" s="6">
        <v>10.5</v>
      </c>
      <c r="T54" s="6">
        <v>17</v>
      </c>
      <c r="U54" s="6">
        <v>15</v>
      </c>
      <c r="V54" s="6">
        <v>22</v>
      </c>
      <c r="W54" s="6">
        <v>21</v>
      </c>
      <c r="X54" s="9">
        <v>24</v>
      </c>
      <c r="Y54" s="9">
        <v>27</v>
      </c>
      <c r="Z54" s="9">
        <v>30</v>
      </c>
      <c r="AA54" s="9">
        <v>19</v>
      </c>
      <c r="AB54" s="9">
        <v>19.5</v>
      </c>
      <c r="AC54" s="9">
        <v>19.5</v>
      </c>
      <c r="AD54" s="9">
        <v>20.5</v>
      </c>
      <c r="AE54" s="9">
        <v>24</v>
      </c>
      <c r="AF54" s="9">
        <v>27</v>
      </c>
      <c r="AG54" s="9">
        <v>32</v>
      </c>
      <c r="AH54" s="9">
        <v>19.5</v>
      </c>
      <c r="AI54" s="69">
        <v>12</v>
      </c>
      <c r="AJ54" s="93">
        <v>22.5</v>
      </c>
      <c r="AK54" s="93">
        <v>18.5</v>
      </c>
      <c r="AL54" s="93">
        <v>23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spans="1:57" ht="17.399999999999999" customHeight="1">
      <c r="A55" s="68" t="s">
        <v>209</v>
      </c>
      <c r="B55" s="71" t="s">
        <v>78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5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/>
      <c r="AB55" s="6">
        <v>0</v>
      </c>
      <c r="AC55" s="6">
        <v>0</v>
      </c>
      <c r="AD55" s="6">
        <v>0</v>
      </c>
      <c r="AE55" s="9">
        <v>0</v>
      </c>
      <c r="AF55" s="9">
        <v>0.5</v>
      </c>
      <c r="AG55" s="9">
        <v>0</v>
      </c>
      <c r="AH55" s="9">
        <v>0</v>
      </c>
      <c r="AI55" s="69">
        <v>0</v>
      </c>
      <c r="AJ55" s="93">
        <v>0</v>
      </c>
      <c r="AK55" s="93">
        <v>0</v>
      </c>
      <c r="AL55" s="93">
        <v>0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spans="1:57" ht="17.399999999999999" customHeight="1">
      <c r="A56" s="68" t="s">
        <v>210</v>
      </c>
      <c r="B56" s="71" t="s">
        <v>77</v>
      </c>
      <c r="C56" s="68">
        <v>3</v>
      </c>
      <c r="D56" s="6">
        <v>3</v>
      </c>
      <c r="E56" s="6">
        <v>3</v>
      </c>
      <c r="F56" s="6">
        <v>3</v>
      </c>
      <c r="G56" s="6">
        <v>4</v>
      </c>
      <c r="H56" s="6">
        <v>3.5</v>
      </c>
      <c r="I56" s="6">
        <v>5</v>
      </c>
      <c r="J56" s="6">
        <v>5.5</v>
      </c>
      <c r="K56" s="6">
        <v>6</v>
      </c>
      <c r="L56" s="6">
        <v>8</v>
      </c>
      <c r="M56" s="6">
        <v>8</v>
      </c>
      <c r="N56" s="6">
        <v>9</v>
      </c>
      <c r="O56" s="6">
        <v>10</v>
      </c>
      <c r="P56" s="6">
        <v>11</v>
      </c>
      <c r="Q56" s="6">
        <v>11</v>
      </c>
      <c r="R56" s="6">
        <v>11.5</v>
      </c>
      <c r="S56" s="6">
        <v>12</v>
      </c>
      <c r="T56" s="6">
        <v>12.5</v>
      </c>
      <c r="U56" s="6">
        <v>6</v>
      </c>
      <c r="V56" s="6">
        <v>13</v>
      </c>
      <c r="W56" s="6">
        <v>13</v>
      </c>
      <c r="X56" s="6">
        <v>13.5</v>
      </c>
      <c r="Y56" s="6">
        <v>13.5</v>
      </c>
      <c r="Z56" s="6">
        <v>13.5</v>
      </c>
      <c r="AA56" s="6">
        <v>14</v>
      </c>
      <c r="AB56" s="6">
        <v>14.5</v>
      </c>
      <c r="AC56" s="6">
        <v>14.5</v>
      </c>
      <c r="AD56" s="6">
        <v>14.5</v>
      </c>
      <c r="AE56" s="9">
        <v>15</v>
      </c>
      <c r="AF56" s="9">
        <v>18</v>
      </c>
      <c r="AG56" s="9">
        <v>18</v>
      </c>
      <c r="AH56" s="9">
        <v>17.5</v>
      </c>
      <c r="AI56" s="69">
        <v>16</v>
      </c>
      <c r="AJ56" s="93">
        <v>15.5</v>
      </c>
      <c r="AK56" s="93">
        <v>9</v>
      </c>
      <c r="AL56" s="93">
        <v>14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spans="1:57" ht="17.399999999999999" customHeight="1">
      <c r="A57" s="68" t="s">
        <v>211</v>
      </c>
      <c r="B57" s="71" t="s">
        <v>91</v>
      </c>
      <c r="C57" s="68"/>
      <c r="J57" s="6">
        <v>4.5</v>
      </c>
      <c r="K57" s="6">
        <v>7</v>
      </c>
      <c r="L57" s="6">
        <v>6</v>
      </c>
      <c r="M57" s="6">
        <v>8</v>
      </c>
      <c r="N57" s="6">
        <v>6.5</v>
      </c>
      <c r="O57" s="6">
        <v>5.5</v>
      </c>
      <c r="P57" s="6">
        <v>4</v>
      </c>
      <c r="Q57" s="6">
        <v>4.5</v>
      </c>
      <c r="R57" s="6">
        <v>4</v>
      </c>
      <c r="S57" s="6">
        <v>3.5</v>
      </c>
      <c r="T57" s="6">
        <v>4</v>
      </c>
      <c r="U57" s="6">
        <v>3</v>
      </c>
      <c r="V57" s="6">
        <v>4</v>
      </c>
      <c r="W57" s="6">
        <v>5</v>
      </c>
      <c r="X57" s="9">
        <v>5</v>
      </c>
      <c r="Y57" s="9">
        <v>6</v>
      </c>
      <c r="Z57" s="9">
        <v>8.5</v>
      </c>
      <c r="AA57" s="9">
        <v>8</v>
      </c>
      <c r="AB57" s="9">
        <v>6.5</v>
      </c>
      <c r="AC57" s="9">
        <v>6.5</v>
      </c>
      <c r="AD57" s="9">
        <v>7.5</v>
      </c>
      <c r="AE57" s="9">
        <v>8</v>
      </c>
      <c r="AF57" s="9">
        <v>9.5</v>
      </c>
      <c r="AG57" s="9">
        <v>10.5</v>
      </c>
      <c r="AH57" s="9">
        <v>13</v>
      </c>
      <c r="AI57" s="69">
        <v>9</v>
      </c>
      <c r="AJ57" s="93">
        <v>6.5</v>
      </c>
      <c r="AK57" s="93">
        <v>7</v>
      </c>
      <c r="AL57" s="93">
        <v>7</v>
      </c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spans="1:57" ht="17.399999999999999" customHeight="1">
      <c r="A58" s="68" t="s">
        <v>212</v>
      </c>
      <c r="B58" s="71" t="s">
        <v>72</v>
      </c>
      <c r="C58" s="68">
        <v>3</v>
      </c>
      <c r="D58" s="6">
        <v>3</v>
      </c>
      <c r="E58" s="6">
        <v>3</v>
      </c>
      <c r="F58" s="6">
        <v>3</v>
      </c>
      <c r="G58" s="6">
        <v>3</v>
      </c>
      <c r="H58" s="6">
        <v>2.5</v>
      </c>
      <c r="I58" s="6">
        <v>4.5</v>
      </c>
      <c r="J58" s="6">
        <v>4.5</v>
      </c>
      <c r="K58" s="6">
        <v>5.5</v>
      </c>
      <c r="L58" s="6">
        <v>6.5</v>
      </c>
      <c r="M58" s="6">
        <v>6.5</v>
      </c>
      <c r="N58" s="6">
        <v>6.5</v>
      </c>
      <c r="O58" s="6">
        <v>7.5</v>
      </c>
      <c r="P58" s="6">
        <v>7</v>
      </c>
      <c r="Q58" s="6">
        <v>7</v>
      </c>
      <c r="R58" s="6">
        <v>5</v>
      </c>
      <c r="S58" s="6">
        <v>3</v>
      </c>
      <c r="T58" s="6">
        <v>3</v>
      </c>
      <c r="U58" s="6">
        <v>3</v>
      </c>
      <c r="V58" s="6">
        <v>3</v>
      </c>
      <c r="W58" s="6">
        <v>3</v>
      </c>
      <c r="X58" s="9">
        <v>3</v>
      </c>
      <c r="Y58" s="9">
        <v>3</v>
      </c>
      <c r="Z58" s="9">
        <v>2</v>
      </c>
      <c r="AA58" s="9">
        <v>2</v>
      </c>
      <c r="AB58" s="9">
        <v>2</v>
      </c>
      <c r="AC58" s="9">
        <v>2</v>
      </c>
      <c r="AD58" s="9">
        <v>2</v>
      </c>
      <c r="AE58" s="9">
        <v>2</v>
      </c>
      <c r="AF58" s="9">
        <v>2</v>
      </c>
      <c r="AG58" s="9">
        <v>2</v>
      </c>
      <c r="AH58" s="9">
        <v>2</v>
      </c>
      <c r="AI58" s="69">
        <v>2</v>
      </c>
      <c r="AJ58" s="93">
        <v>2</v>
      </c>
      <c r="AK58" s="93">
        <v>2</v>
      </c>
      <c r="AL58" s="93">
        <v>2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spans="1:57" ht="17.399999999999999" customHeight="1">
      <c r="A59" s="68" t="s">
        <v>213</v>
      </c>
      <c r="B59" s="71" t="s">
        <v>71</v>
      </c>
      <c r="C59" s="68">
        <v>21</v>
      </c>
      <c r="D59" s="6">
        <v>35</v>
      </c>
      <c r="E59" s="6">
        <v>30</v>
      </c>
      <c r="F59" s="6">
        <v>30</v>
      </c>
      <c r="G59" s="6">
        <v>33</v>
      </c>
      <c r="H59" s="6">
        <v>20</v>
      </c>
      <c r="I59" s="6">
        <v>25</v>
      </c>
      <c r="J59" s="6">
        <v>20.5</v>
      </c>
      <c r="K59" s="6">
        <v>23</v>
      </c>
      <c r="L59" s="6">
        <v>29</v>
      </c>
      <c r="M59" s="6">
        <v>20</v>
      </c>
      <c r="N59" s="6">
        <v>38</v>
      </c>
      <c r="O59" s="6">
        <v>34</v>
      </c>
      <c r="P59" s="6">
        <v>31</v>
      </c>
      <c r="Q59" s="6">
        <f>47+3.5</f>
        <v>50.5</v>
      </c>
      <c r="R59" s="6">
        <v>41.5</v>
      </c>
      <c r="S59" s="6">
        <v>25</v>
      </c>
      <c r="T59" s="6">
        <v>25</v>
      </c>
      <c r="U59" s="6">
        <v>20</v>
      </c>
      <c r="V59" s="6">
        <v>35</v>
      </c>
      <c r="W59" s="6">
        <v>40</v>
      </c>
      <c r="X59" s="9">
        <v>55</v>
      </c>
      <c r="Y59" s="9">
        <v>60</v>
      </c>
      <c r="Z59" s="9">
        <v>70</v>
      </c>
      <c r="AA59" s="9">
        <v>70</v>
      </c>
      <c r="AB59" s="9">
        <v>65</v>
      </c>
      <c r="AC59" s="9">
        <v>60</v>
      </c>
      <c r="AD59" s="9">
        <v>73.5</v>
      </c>
      <c r="AE59" s="9">
        <v>70.5</v>
      </c>
      <c r="AF59" s="9">
        <v>127</v>
      </c>
      <c r="AG59" s="9">
        <v>145</v>
      </c>
      <c r="AH59" s="9">
        <v>177</v>
      </c>
      <c r="AI59" s="69">
        <v>163.5</v>
      </c>
      <c r="AJ59" s="93">
        <v>137.5</v>
      </c>
      <c r="AK59" s="93">
        <v>195</v>
      </c>
      <c r="AL59" s="93">
        <v>183</v>
      </c>
      <c r="AM59" s="6"/>
      <c r="AN59" s="10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spans="1:57" ht="17.399999999999999" customHeight="1">
      <c r="A60" s="68"/>
      <c r="B60" s="71"/>
      <c r="C60" s="94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92"/>
      <c r="AJ60" s="79"/>
      <c r="AK60" s="79"/>
      <c r="AL60" s="79"/>
      <c r="AM60" s="44"/>
      <c r="AN60" s="44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spans="1:57" s="80" customFormat="1" ht="17.399999999999999" customHeight="1">
      <c r="A61" s="81" t="s">
        <v>227</v>
      </c>
      <c r="B61" s="82"/>
      <c r="C61" s="43">
        <f t="shared" ref="C61:AD61" si="1">SUM(C44:C59)</f>
        <v>171</v>
      </c>
      <c r="D61" s="44">
        <f t="shared" si="1"/>
        <v>184.5</v>
      </c>
      <c r="E61" s="44">
        <f t="shared" si="1"/>
        <v>210.5</v>
      </c>
      <c r="F61" s="44">
        <f t="shared" si="1"/>
        <v>209.5</v>
      </c>
      <c r="G61" s="44">
        <f t="shared" si="1"/>
        <v>239</v>
      </c>
      <c r="H61" s="44">
        <f t="shared" si="1"/>
        <v>202.5</v>
      </c>
      <c r="I61" s="44">
        <f t="shared" si="1"/>
        <v>276</v>
      </c>
      <c r="J61" s="44">
        <f t="shared" si="1"/>
        <v>286</v>
      </c>
      <c r="K61" s="44">
        <f t="shared" si="1"/>
        <v>300.5</v>
      </c>
      <c r="L61" s="44">
        <f t="shared" si="1"/>
        <v>336</v>
      </c>
      <c r="M61" s="44">
        <f t="shared" si="1"/>
        <v>365</v>
      </c>
      <c r="N61" s="44">
        <f t="shared" si="1"/>
        <v>372.5</v>
      </c>
      <c r="O61" s="44">
        <f t="shared" si="1"/>
        <v>379.5</v>
      </c>
      <c r="P61" s="44">
        <f t="shared" si="1"/>
        <v>416</v>
      </c>
      <c r="Q61" s="44">
        <f t="shared" si="1"/>
        <v>437.5</v>
      </c>
      <c r="R61" s="44">
        <f t="shared" si="1"/>
        <v>432.5</v>
      </c>
      <c r="S61" s="44">
        <f t="shared" si="1"/>
        <v>461.5</v>
      </c>
      <c r="T61" s="44">
        <f t="shared" si="1"/>
        <v>450.5</v>
      </c>
      <c r="U61" s="44">
        <f t="shared" si="1"/>
        <v>468.5</v>
      </c>
      <c r="V61" s="44">
        <f t="shared" si="1"/>
        <v>534.5</v>
      </c>
      <c r="W61" s="44">
        <f t="shared" si="1"/>
        <v>582.5</v>
      </c>
      <c r="X61" s="35">
        <f t="shared" si="1"/>
        <v>651.5</v>
      </c>
      <c r="Y61" s="35">
        <f t="shared" si="1"/>
        <v>664</v>
      </c>
      <c r="Z61" s="35">
        <f t="shared" si="1"/>
        <v>694</v>
      </c>
      <c r="AA61" s="35">
        <f t="shared" si="1"/>
        <v>666</v>
      </c>
      <c r="AB61" s="35">
        <f t="shared" si="1"/>
        <v>667.5</v>
      </c>
      <c r="AC61" s="35">
        <f t="shared" si="1"/>
        <v>671</v>
      </c>
      <c r="AD61" s="35">
        <f t="shared" si="1"/>
        <v>731.5</v>
      </c>
      <c r="AE61" s="35">
        <v>802</v>
      </c>
      <c r="AF61" s="35">
        <v>957.5</v>
      </c>
      <c r="AG61" s="35">
        <v>947.5</v>
      </c>
      <c r="AH61" s="35">
        <v>962</v>
      </c>
      <c r="AI61" s="83">
        <v>838</v>
      </c>
      <c r="AJ61" s="84">
        <f>SUM(AJ44:AJ59)</f>
        <v>792.5</v>
      </c>
      <c r="AK61" s="84">
        <f>SUM(AK44:AK59)</f>
        <v>959</v>
      </c>
      <c r="AL61" s="84">
        <f>SUM(AL44:AL59)</f>
        <v>996</v>
      </c>
      <c r="AM61" s="6"/>
      <c r="AN61" s="85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</row>
    <row r="62" spans="1:57" ht="17.399999999999999" customHeight="1" thickBot="1">
      <c r="A62" s="147"/>
      <c r="B62" s="71"/>
      <c r="C62" s="147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9"/>
      <c r="AE62" s="89"/>
      <c r="AF62" s="89"/>
      <c r="AG62" s="89"/>
      <c r="AH62" s="89"/>
      <c r="AI62" s="90"/>
      <c r="AJ62" s="91"/>
      <c r="AK62" s="91"/>
      <c r="AL62" s="91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spans="1:57" ht="17.399999999999999" customHeight="1">
      <c r="A63" s="132"/>
      <c r="B63" s="133"/>
      <c r="C63" s="148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96"/>
      <c r="Y63" s="150"/>
      <c r="Z63" s="150"/>
      <c r="AA63" s="150"/>
      <c r="AB63" s="150"/>
      <c r="AC63" s="150"/>
      <c r="AD63" s="150"/>
      <c r="AE63" s="139"/>
      <c r="AF63" s="139"/>
      <c r="AG63" s="139"/>
      <c r="AH63" s="139"/>
      <c r="AI63" s="140"/>
      <c r="AJ63" s="46"/>
      <c r="AK63" s="46"/>
      <c r="AL63" s="4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spans="1:57" ht="17.399999999999999" customHeight="1">
      <c r="A64" s="98"/>
      <c r="B64" s="71"/>
      <c r="C64" s="66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96"/>
      <c r="Y64" s="96"/>
      <c r="Z64" s="96"/>
      <c r="AA64" s="96"/>
      <c r="AB64" s="96"/>
      <c r="AC64" s="96"/>
      <c r="AD64" s="96"/>
      <c r="AE64" s="139"/>
      <c r="AF64" s="139"/>
      <c r="AG64" s="139"/>
      <c r="AH64" s="139"/>
      <c r="AI64" s="140"/>
      <c r="AJ64" s="46"/>
      <c r="AK64" s="46"/>
      <c r="AL64" s="46"/>
      <c r="AM64" s="18"/>
      <c r="AN64" s="18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spans="1:57" s="80" customFormat="1" ht="17.399999999999999" customHeight="1">
      <c r="A65" s="99" t="s">
        <v>215</v>
      </c>
      <c r="B65" s="100"/>
      <c r="C65" s="43">
        <f t="shared" ref="C65:AD65" si="2">C41+C61</f>
        <v>310</v>
      </c>
      <c r="D65" s="44">
        <f t="shared" si="2"/>
        <v>346.5</v>
      </c>
      <c r="E65" s="44">
        <f t="shared" si="2"/>
        <v>323</v>
      </c>
      <c r="F65" s="44">
        <f t="shared" si="2"/>
        <v>378</v>
      </c>
      <c r="G65" s="44">
        <f t="shared" si="2"/>
        <v>436.5</v>
      </c>
      <c r="H65" s="44">
        <f t="shared" si="2"/>
        <v>288.5</v>
      </c>
      <c r="I65" s="44">
        <f t="shared" si="2"/>
        <v>437.5</v>
      </c>
      <c r="J65" s="44">
        <f t="shared" si="2"/>
        <v>423</v>
      </c>
      <c r="K65" s="44">
        <f t="shared" si="2"/>
        <v>551</v>
      </c>
      <c r="L65" s="44">
        <f t="shared" si="2"/>
        <v>479</v>
      </c>
      <c r="M65" s="44">
        <f t="shared" si="2"/>
        <v>517</v>
      </c>
      <c r="N65" s="44">
        <f t="shared" si="2"/>
        <v>437</v>
      </c>
      <c r="O65" s="44">
        <f t="shared" si="2"/>
        <v>492.5</v>
      </c>
      <c r="P65" s="44">
        <f t="shared" si="2"/>
        <v>663</v>
      </c>
      <c r="Q65" s="44">
        <f t="shared" si="2"/>
        <v>634</v>
      </c>
      <c r="R65" s="44">
        <f t="shared" si="2"/>
        <v>639</v>
      </c>
      <c r="S65" s="44">
        <f t="shared" si="2"/>
        <v>704.5</v>
      </c>
      <c r="T65" s="44">
        <f t="shared" si="2"/>
        <v>636</v>
      </c>
      <c r="U65" s="44">
        <f t="shared" si="2"/>
        <v>600.5</v>
      </c>
      <c r="V65" s="44">
        <f t="shared" si="2"/>
        <v>652</v>
      </c>
      <c r="W65" s="44">
        <f t="shared" si="2"/>
        <v>704.5</v>
      </c>
      <c r="X65" s="35">
        <f t="shared" si="2"/>
        <v>769</v>
      </c>
      <c r="Y65" s="35">
        <f t="shared" si="2"/>
        <v>853</v>
      </c>
      <c r="Z65" s="35">
        <f t="shared" si="2"/>
        <v>779.5</v>
      </c>
      <c r="AA65" s="35">
        <f t="shared" si="2"/>
        <v>920.5</v>
      </c>
      <c r="AB65" s="35">
        <f t="shared" si="2"/>
        <v>790.5</v>
      </c>
      <c r="AC65" s="35">
        <f t="shared" si="2"/>
        <v>781.5</v>
      </c>
      <c r="AD65" s="35">
        <f t="shared" si="2"/>
        <v>943</v>
      </c>
      <c r="AE65" s="139">
        <v>975</v>
      </c>
      <c r="AF65" s="139">
        <v>1240</v>
      </c>
      <c r="AG65" s="139">
        <v>1146.5</v>
      </c>
      <c r="AH65" s="139">
        <v>1177.5</v>
      </c>
      <c r="AI65" s="140">
        <v>1084</v>
      </c>
      <c r="AJ65" s="46">
        <f>AJ41+AJ61</f>
        <v>1041.5</v>
      </c>
      <c r="AK65" s="46">
        <f>AK41+AK61</f>
        <v>1197.5</v>
      </c>
      <c r="AL65" s="46">
        <f>AL41+AL61</f>
        <v>1227</v>
      </c>
      <c r="AM65" s="6"/>
      <c r="AN65" s="6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</row>
    <row r="66" spans="1:57" ht="17.399999999999999" customHeight="1" thickBot="1">
      <c r="A66" s="151"/>
      <c r="B66" s="152"/>
      <c r="C66" s="151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89"/>
      <c r="Y66" s="89"/>
      <c r="Z66" s="89"/>
      <c r="AA66" s="89"/>
      <c r="AB66" s="89"/>
      <c r="AC66" s="89"/>
      <c r="AD66" s="89"/>
      <c r="AE66" s="154"/>
      <c r="AF66" s="154"/>
      <c r="AG66" s="154"/>
      <c r="AH66" s="154"/>
      <c r="AI66" s="155"/>
      <c r="AJ66" s="156"/>
      <c r="AK66" s="156"/>
      <c r="AL66" s="15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</row>
    <row r="67" spans="1:57" ht="17.399999999999999" customHeight="1">
      <c r="A67" s="18" t="s">
        <v>228</v>
      </c>
      <c r="B67" s="105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spans="1:57" ht="15.6">
      <c r="A68" s="10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</row>
    <row r="69" spans="1:57" ht="35.4" customHeight="1">
      <c r="A69" s="157" t="s">
        <v>216</v>
      </c>
      <c r="B69" s="158" t="s">
        <v>217</v>
      </c>
    </row>
    <row r="70" spans="1:57" ht="30">
      <c r="A70" s="159" t="s">
        <v>218</v>
      </c>
      <c r="B70" s="160" t="s">
        <v>219</v>
      </c>
    </row>
    <row r="71" spans="1:57">
      <c r="A71" s="161" t="s">
        <v>220</v>
      </c>
      <c r="B71" s="161" t="s">
        <v>221</v>
      </c>
    </row>
    <row r="72" spans="1:57">
      <c r="A72" s="10"/>
    </row>
    <row r="73" spans="1:57">
      <c r="A73" s="10"/>
    </row>
    <row r="75" spans="1:57">
      <c r="A75" s="10"/>
    </row>
    <row r="76" spans="1:57">
      <c r="A76" s="10"/>
    </row>
    <row r="77" spans="1:57">
      <c r="A77" s="10"/>
    </row>
    <row r="78" spans="1:57">
      <c r="A78" s="10"/>
      <c r="C78" s="85"/>
      <c r="D78" s="85"/>
      <c r="E78" s="85"/>
      <c r="F78" s="85"/>
      <c r="G78" s="85"/>
      <c r="H78" s="85"/>
      <c r="I78" s="85"/>
    </row>
    <row r="80" spans="1:57">
      <c r="A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3">
      <c r="A81" s="10"/>
    </row>
    <row r="82" spans="1:23">
      <c r="A82" s="10"/>
      <c r="O82" s="85"/>
      <c r="P82" s="85"/>
      <c r="Q82" s="85"/>
      <c r="R82" s="85"/>
      <c r="S82" s="85"/>
      <c r="T82" s="85"/>
      <c r="U82" s="85"/>
      <c r="V82" s="85"/>
      <c r="W82" s="85"/>
    </row>
    <row r="84" spans="1:23">
      <c r="A84" s="85"/>
    </row>
    <row r="86" spans="1:23" ht="16.8">
      <c r="A86" s="112"/>
      <c r="B86" s="14"/>
    </row>
    <row r="87" spans="1:23" ht="16.8">
      <c r="A87" s="112"/>
      <c r="B87" s="14"/>
    </row>
    <row r="89" spans="1:23"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23" ht="15.6">
      <c r="A90" s="18"/>
      <c r="B90" s="17"/>
      <c r="K90" s="9"/>
      <c r="L90" s="9"/>
      <c r="M90" s="9"/>
      <c r="N90" s="9"/>
    </row>
    <row r="91" spans="1:23" ht="15.6">
      <c r="A91" s="18"/>
      <c r="B91" s="1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</row>
    <row r="92" spans="1:23" ht="15.6">
      <c r="A92" s="113"/>
      <c r="B92" s="114"/>
    </row>
    <row r="96" spans="1:23">
      <c r="O96" s="10"/>
      <c r="P96" s="10"/>
      <c r="Q96" s="10"/>
      <c r="R96" s="10"/>
      <c r="S96" s="10"/>
      <c r="T96" s="10"/>
      <c r="U96" s="10"/>
      <c r="V96" s="10"/>
      <c r="W96" s="10"/>
    </row>
    <row r="98" spans="3:23">
      <c r="O98" s="85"/>
      <c r="P98" s="85"/>
      <c r="Q98" s="85"/>
      <c r="R98" s="85"/>
      <c r="S98" s="85"/>
      <c r="T98" s="85"/>
      <c r="U98" s="85"/>
      <c r="V98" s="85"/>
      <c r="W98" s="85"/>
    </row>
    <row r="106" spans="3:23">
      <c r="O106" s="10"/>
      <c r="P106" s="10"/>
      <c r="Q106" s="10"/>
      <c r="R106" s="10"/>
      <c r="S106" s="10"/>
      <c r="T106" s="10"/>
      <c r="U106" s="10"/>
      <c r="V106" s="10"/>
      <c r="W106" s="10"/>
    </row>
    <row r="108" spans="3:23">
      <c r="O108" s="85"/>
      <c r="P108" s="85"/>
      <c r="Q108" s="85"/>
      <c r="R108" s="85"/>
      <c r="S108" s="85"/>
      <c r="T108" s="85"/>
      <c r="U108" s="85"/>
      <c r="V108" s="85"/>
      <c r="W108" s="85"/>
    </row>
    <row r="110" spans="3:23"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3:23" ht="15.6">
      <c r="O111" s="18"/>
      <c r="P111" s="18"/>
      <c r="Q111" s="18"/>
      <c r="R111" s="18"/>
      <c r="S111" s="18"/>
      <c r="T111" s="18"/>
      <c r="U111" s="18"/>
      <c r="V111" s="18"/>
      <c r="W111" s="18"/>
    </row>
    <row r="112" spans="3:23"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</row>
    <row r="116" spans="1:14"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>
      <c r="A117" s="10"/>
    </row>
    <row r="118" spans="1:14">
      <c r="A118" s="85"/>
    </row>
    <row r="120" spans="1:14"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3" spans="1:14"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6" spans="1:14"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8" spans="1:14"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</row>
    <row r="133" spans="1:36">
      <c r="A133" s="10"/>
    </row>
    <row r="134" spans="1:36">
      <c r="A134" s="85"/>
    </row>
    <row r="136" spans="1:36"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8" spans="1:36"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</row>
    <row r="141" spans="1:36" ht="15.6"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AI141" s="18"/>
      <c r="AJ141" s="18"/>
    </row>
    <row r="143" spans="1:36">
      <c r="A143" s="10"/>
    </row>
    <row r="144" spans="1:36">
      <c r="A144" s="85"/>
    </row>
    <row r="147" spans="1:9" ht="15.6">
      <c r="A147" s="18"/>
      <c r="B147" s="17"/>
    </row>
    <row r="149" spans="1:9">
      <c r="C149" s="85"/>
      <c r="D149" s="85"/>
      <c r="G149" s="85"/>
      <c r="H149" s="85"/>
      <c r="I149" s="85"/>
    </row>
    <row r="150" spans="1:9">
      <c r="A150" s="10"/>
    </row>
    <row r="151" spans="1:9">
      <c r="A151" s="10"/>
    </row>
    <row r="153" spans="1:9">
      <c r="A153" s="10"/>
    </row>
    <row r="154" spans="1:9">
      <c r="A154" s="10"/>
    </row>
    <row r="155" spans="1:9">
      <c r="A155" s="85"/>
    </row>
    <row r="156" spans="1:9">
      <c r="A156" s="10"/>
    </row>
    <row r="158" spans="1:9">
      <c r="A158" s="10"/>
    </row>
    <row r="161" spans="1:23">
      <c r="C161" s="85"/>
      <c r="D161" s="85"/>
    </row>
    <row r="162" spans="1:23">
      <c r="C162" s="9"/>
      <c r="D162" s="9"/>
    </row>
    <row r="163" spans="1:23">
      <c r="C163" s="9"/>
      <c r="D163" s="9"/>
    </row>
    <row r="164" spans="1:23">
      <c r="C164" s="85"/>
      <c r="D164" s="85"/>
    </row>
    <row r="165" spans="1:23">
      <c r="A165" s="10"/>
    </row>
    <row r="167" spans="1:23">
      <c r="A167" s="85"/>
    </row>
    <row r="169" spans="1:23">
      <c r="C169" s="10"/>
    </row>
    <row r="170" spans="1:23">
      <c r="A170" s="85"/>
      <c r="C170" s="10"/>
    </row>
    <row r="171" spans="1:23">
      <c r="C171" s="10"/>
    </row>
    <row r="172" spans="1:23">
      <c r="C172" s="10"/>
    </row>
    <row r="173" spans="1:23">
      <c r="C173" s="10"/>
      <c r="O173" s="9"/>
      <c r="P173" s="9"/>
      <c r="Q173" s="9"/>
      <c r="R173" s="9"/>
      <c r="S173" s="9"/>
      <c r="T173" s="9"/>
      <c r="U173" s="9"/>
      <c r="V173" s="9"/>
      <c r="W173" s="9"/>
    </row>
    <row r="174" spans="1:23">
      <c r="O174" s="9"/>
      <c r="P174" s="9"/>
      <c r="Q174" s="9"/>
      <c r="R174" s="9"/>
      <c r="S174" s="9"/>
      <c r="T174" s="9"/>
      <c r="U174" s="9"/>
      <c r="V174" s="9"/>
      <c r="W174" s="9"/>
    </row>
    <row r="175" spans="1:23">
      <c r="O175" s="56"/>
      <c r="P175" s="56"/>
      <c r="Q175" s="56"/>
      <c r="R175" s="56"/>
      <c r="S175" s="56"/>
      <c r="T175" s="56"/>
      <c r="U175" s="56"/>
      <c r="V175" s="56"/>
      <c r="W175" s="56"/>
    </row>
    <row r="177" spans="1:3">
      <c r="C177" s="10"/>
    </row>
    <row r="178" spans="1:3">
      <c r="C178" s="10"/>
    </row>
    <row r="179" spans="1:3">
      <c r="C179" s="10"/>
    </row>
    <row r="181" spans="1:3">
      <c r="C181" s="85"/>
    </row>
    <row r="186" spans="1:3">
      <c r="A186" s="10"/>
    </row>
    <row r="187" spans="1:3">
      <c r="A187" s="85"/>
    </row>
    <row r="194" spans="1:23">
      <c r="O194" s="10"/>
      <c r="P194" s="10"/>
      <c r="Q194" s="10"/>
      <c r="R194" s="10"/>
      <c r="S194" s="10"/>
      <c r="T194" s="10"/>
      <c r="U194" s="10"/>
      <c r="V194" s="10"/>
      <c r="W194" s="10"/>
    </row>
    <row r="196" spans="1:23">
      <c r="O196" s="85"/>
      <c r="P196" s="85"/>
      <c r="Q196" s="85"/>
      <c r="R196" s="85"/>
      <c r="S196" s="85"/>
      <c r="T196" s="85"/>
      <c r="U196" s="85"/>
      <c r="V196" s="85"/>
      <c r="W196" s="85"/>
    </row>
    <row r="198" spans="1:23">
      <c r="A198" s="85"/>
    </row>
    <row r="200" spans="1:23" ht="16.8">
      <c r="A200" s="112"/>
      <c r="B200" s="14"/>
    </row>
    <row r="201" spans="1:23" ht="16.8">
      <c r="A201" s="112"/>
      <c r="B201" s="14"/>
    </row>
    <row r="203" spans="1:23"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</row>
    <row r="204" spans="1:23" ht="15.6">
      <c r="A204" s="18"/>
      <c r="B204" s="17"/>
      <c r="K204" s="9"/>
      <c r="L204" s="9"/>
      <c r="M204" s="9"/>
      <c r="N204" s="9"/>
    </row>
    <row r="205" spans="1:23" ht="15.6">
      <c r="A205" s="18"/>
      <c r="B205" s="1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</row>
    <row r="206" spans="1:23" ht="15.6">
      <c r="A206" s="113"/>
      <c r="B206" s="114"/>
    </row>
    <row r="210" spans="3:23">
      <c r="O210" s="10"/>
      <c r="P210" s="10"/>
      <c r="Q210" s="10"/>
      <c r="R210" s="10"/>
      <c r="S210" s="10"/>
      <c r="T210" s="10"/>
      <c r="U210" s="10"/>
      <c r="V210" s="10"/>
      <c r="W210" s="10"/>
    </row>
    <row r="212" spans="3:23">
      <c r="O212" s="85"/>
      <c r="P212" s="85"/>
      <c r="Q212" s="85"/>
      <c r="R212" s="85"/>
      <c r="S212" s="85"/>
      <c r="T212" s="85"/>
      <c r="U212" s="85"/>
      <c r="V212" s="85"/>
      <c r="W212" s="85"/>
    </row>
    <row r="220" spans="3:23">
      <c r="O220" s="10"/>
      <c r="P220" s="10"/>
      <c r="Q220" s="10"/>
      <c r="R220" s="10"/>
      <c r="S220" s="10"/>
      <c r="T220" s="10"/>
      <c r="U220" s="10"/>
      <c r="V220" s="10"/>
      <c r="W220" s="10"/>
    </row>
    <row r="222" spans="3:23">
      <c r="O222" s="85"/>
      <c r="P222" s="85"/>
      <c r="Q222" s="85"/>
      <c r="R222" s="85"/>
      <c r="S222" s="85"/>
      <c r="T222" s="85"/>
      <c r="U222" s="85"/>
      <c r="V222" s="85"/>
      <c r="W222" s="85"/>
    </row>
    <row r="224" spans="3:23"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23" ht="15.6">
      <c r="O225" s="18"/>
      <c r="P225" s="18"/>
      <c r="Q225" s="18"/>
      <c r="R225" s="18"/>
      <c r="S225" s="18"/>
      <c r="T225" s="18"/>
      <c r="U225" s="18"/>
      <c r="V225" s="18"/>
      <c r="W225" s="18"/>
    </row>
    <row r="226" spans="1:23"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</row>
    <row r="231" spans="1:23">
      <c r="A231" s="10"/>
    </row>
    <row r="232" spans="1:23">
      <c r="A232" s="85"/>
    </row>
    <row r="240" spans="1:23"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2" spans="1:36"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</row>
    <row r="244" spans="1:36">
      <c r="O244" s="115"/>
      <c r="P244" s="115"/>
      <c r="Q244" s="115"/>
      <c r="R244" s="115"/>
      <c r="S244" s="115"/>
      <c r="T244" s="115"/>
      <c r="U244" s="115"/>
      <c r="V244" s="115"/>
      <c r="W244" s="115"/>
    </row>
    <row r="245" spans="1:36">
      <c r="O245" s="9"/>
      <c r="P245" s="9"/>
      <c r="Q245" s="9"/>
      <c r="R245" s="9"/>
      <c r="S245" s="9"/>
      <c r="T245" s="9"/>
      <c r="U245" s="9"/>
      <c r="V245" s="9"/>
      <c r="W245" s="9"/>
    </row>
    <row r="246" spans="1:36">
      <c r="O246" s="116"/>
      <c r="P246" s="116"/>
      <c r="Q246" s="116"/>
      <c r="R246" s="116"/>
      <c r="S246" s="116"/>
      <c r="T246" s="116"/>
      <c r="U246" s="116"/>
      <c r="V246" s="116"/>
      <c r="W246" s="116"/>
    </row>
    <row r="247" spans="1:36">
      <c r="A247" s="10"/>
    </row>
    <row r="248" spans="1:36">
      <c r="A248" s="85"/>
    </row>
    <row r="250" spans="1:36"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2" spans="1:36"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</row>
    <row r="255" spans="1:36" ht="15.6"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AI255" s="18"/>
      <c r="AJ255" s="18"/>
    </row>
    <row r="257" spans="1:23">
      <c r="A257" s="10"/>
    </row>
    <row r="258" spans="1:23">
      <c r="A258" s="85"/>
    </row>
    <row r="261" spans="1:23" ht="15.6">
      <c r="A261" s="18"/>
      <c r="B261" s="17"/>
    </row>
    <row r="263" spans="1:23">
      <c r="E263" s="85"/>
      <c r="G263" s="85"/>
      <c r="H263" s="85"/>
      <c r="I263" s="85"/>
    </row>
    <row r="264" spans="1:23">
      <c r="A264" s="10"/>
    </row>
    <row r="265" spans="1:23">
      <c r="A265" s="10"/>
      <c r="O265" s="10"/>
      <c r="P265" s="10"/>
      <c r="Q265" s="10"/>
      <c r="R265" s="10"/>
      <c r="S265" s="10"/>
      <c r="T265" s="10"/>
      <c r="U265" s="10"/>
      <c r="V265" s="10"/>
      <c r="W265" s="10"/>
    </row>
    <row r="267" spans="1:23">
      <c r="A267" s="10"/>
      <c r="O267" s="85"/>
      <c r="P267" s="85"/>
      <c r="Q267" s="85"/>
      <c r="R267" s="85"/>
      <c r="S267" s="85"/>
      <c r="T267" s="85"/>
      <c r="U267" s="85"/>
      <c r="V267" s="85"/>
      <c r="W267" s="85"/>
    </row>
    <row r="268" spans="1:23">
      <c r="A268" s="10"/>
    </row>
    <row r="269" spans="1:23">
      <c r="A269" s="85"/>
    </row>
    <row r="271" spans="1:23" ht="16.8">
      <c r="A271" s="112"/>
      <c r="B271" s="14"/>
    </row>
    <row r="272" spans="1:23" ht="16.8">
      <c r="A272" s="112"/>
      <c r="B272" s="14"/>
    </row>
    <row r="274" spans="1:23" ht="15.6">
      <c r="A274" s="18"/>
      <c r="B274" s="17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</row>
    <row r="275" spans="1:23" ht="15.6">
      <c r="A275" s="18"/>
      <c r="B275" s="17"/>
      <c r="K275" s="9"/>
      <c r="L275" s="9"/>
      <c r="M275" s="9"/>
      <c r="N275" s="9"/>
    </row>
    <row r="276" spans="1:23" ht="15.6">
      <c r="A276" s="18"/>
      <c r="B276" s="1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</row>
    <row r="277" spans="1:23" ht="15.6">
      <c r="A277" s="113"/>
      <c r="B277" s="114"/>
    </row>
    <row r="281" spans="1:23">
      <c r="O281" s="10"/>
      <c r="P281" s="10"/>
      <c r="Q281" s="10"/>
      <c r="R281" s="10"/>
      <c r="S281" s="10"/>
      <c r="T281" s="10"/>
      <c r="U281" s="10"/>
      <c r="V281" s="10"/>
      <c r="W281" s="10"/>
    </row>
    <row r="283" spans="1:23">
      <c r="O283" s="85"/>
      <c r="P283" s="85"/>
      <c r="Q283" s="85"/>
      <c r="R283" s="85"/>
      <c r="S283" s="85"/>
      <c r="T283" s="85"/>
      <c r="U283" s="85"/>
      <c r="V283" s="85"/>
      <c r="W283" s="85"/>
    </row>
    <row r="291" spans="1:23">
      <c r="O291" s="10"/>
      <c r="P291" s="10"/>
      <c r="Q291" s="10"/>
      <c r="R291" s="10"/>
      <c r="S291" s="10"/>
      <c r="T291" s="10"/>
      <c r="U291" s="10"/>
      <c r="V291" s="10"/>
      <c r="W291" s="10"/>
    </row>
    <row r="293" spans="1:23">
      <c r="O293" s="85"/>
      <c r="P293" s="85"/>
      <c r="Q293" s="85"/>
      <c r="R293" s="85"/>
      <c r="S293" s="85"/>
      <c r="T293" s="85"/>
      <c r="U293" s="85"/>
      <c r="V293" s="85"/>
      <c r="W293" s="85"/>
    </row>
    <row r="295" spans="1:23"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23" ht="15.6">
      <c r="O296" s="18"/>
      <c r="P296" s="18"/>
      <c r="Q296" s="18"/>
      <c r="R296" s="18"/>
      <c r="S296" s="18"/>
      <c r="T296" s="18"/>
      <c r="U296" s="18"/>
      <c r="V296" s="18"/>
      <c r="W296" s="18"/>
    </row>
    <row r="297" spans="1:23"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</row>
    <row r="301" spans="1:23"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23">
      <c r="A302" s="10"/>
    </row>
    <row r="303" spans="1:23">
      <c r="A303" s="85"/>
    </row>
    <row r="305" spans="1:14"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8" spans="1:14"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11" spans="1:14"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3" spans="1:14"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</row>
    <row r="318" spans="1:14">
      <c r="A318" s="10"/>
    </row>
    <row r="319" spans="1:14">
      <c r="A319" s="85"/>
    </row>
    <row r="321" spans="1:36"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3" spans="1:36"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</row>
    <row r="326" spans="1:36" ht="15.6"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AI326" s="18"/>
      <c r="AJ326" s="18"/>
    </row>
    <row r="328" spans="1:36">
      <c r="A328" s="10"/>
    </row>
    <row r="329" spans="1:36">
      <c r="A329" s="85"/>
    </row>
    <row r="332" spans="1:36" ht="15.6">
      <c r="A332" s="18"/>
      <c r="B332" s="17"/>
    </row>
    <row r="335" spans="1:36">
      <c r="A335" s="10"/>
    </row>
    <row r="336" spans="1:36">
      <c r="A336" s="10"/>
    </row>
    <row r="337" spans="1:8">
      <c r="A337" s="10"/>
    </row>
    <row r="338" spans="1:8">
      <c r="A338" s="10"/>
    </row>
    <row r="339" spans="1:8">
      <c r="A339" s="10"/>
    </row>
    <row r="341" spans="1:8">
      <c r="A341" s="10"/>
    </row>
    <row r="342" spans="1:8">
      <c r="A342" s="10"/>
    </row>
    <row r="343" spans="1:8">
      <c r="A343" s="10"/>
    </row>
    <row r="344" spans="1:8">
      <c r="A344" s="10"/>
    </row>
    <row r="346" spans="1:8">
      <c r="A346" s="10"/>
    </row>
    <row r="347" spans="1:8">
      <c r="A347" s="10"/>
      <c r="G347" s="85"/>
      <c r="H347" s="85"/>
    </row>
    <row r="348" spans="1:8">
      <c r="A348" s="10"/>
    </row>
    <row r="353" spans="1:3">
      <c r="A353" s="85"/>
    </row>
    <row r="354" spans="1:3">
      <c r="A354" s="10"/>
    </row>
    <row r="356" spans="1:3">
      <c r="A356" s="10"/>
    </row>
    <row r="359" spans="1:3">
      <c r="C359" s="85"/>
    </row>
    <row r="360" spans="1:3">
      <c r="C360" s="9"/>
    </row>
    <row r="361" spans="1:3">
      <c r="C361" s="9"/>
    </row>
    <row r="362" spans="1:3">
      <c r="C362" s="85"/>
    </row>
    <row r="363" spans="1:3">
      <c r="A363" s="10"/>
    </row>
    <row r="364" spans="1:3">
      <c r="C364" s="10"/>
    </row>
    <row r="365" spans="1:3">
      <c r="A365" s="85"/>
    </row>
    <row r="367" spans="1:3">
      <c r="C367" s="10"/>
    </row>
    <row r="368" spans="1:3">
      <c r="A368" s="85"/>
      <c r="C368" s="10"/>
    </row>
    <row r="369" spans="1:23">
      <c r="C369" s="10"/>
    </row>
    <row r="370" spans="1:23">
      <c r="C370" s="10"/>
    </row>
    <row r="371" spans="1:23">
      <c r="C371" s="10"/>
    </row>
    <row r="372" spans="1:23">
      <c r="O372" s="85"/>
      <c r="P372" s="85"/>
      <c r="Q372" s="85"/>
      <c r="R372" s="85"/>
      <c r="S372" s="85"/>
      <c r="T372" s="85"/>
      <c r="U372" s="85"/>
      <c r="V372" s="85"/>
      <c r="W372" s="85"/>
    </row>
    <row r="373" spans="1:23">
      <c r="O373" s="9"/>
      <c r="P373" s="9"/>
      <c r="Q373" s="9"/>
      <c r="R373" s="9"/>
      <c r="S373" s="9"/>
      <c r="T373" s="9"/>
      <c r="U373" s="9"/>
      <c r="V373" s="9"/>
      <c r="W373" s="9"/>
    </row>
    <row r="374" spans="1:23">
      <c r="O374" s="9"/>
      <c r="P374" s="9"/>
      <c r="Q374" s="9"/>
      <c r="R374" s="9"/>
      <c r="S374" s="9"/>
      <c r="T374" s="9"/>
      <c r="U374" s="9"/>
      <c r="V374" s="9"/>
      <c r="W374" s="9"/>
    </row>
    <row r="375" spans="1:23">
      <c r="C375" s="10"/>
      <c r="O375" s="117"/>
      <c r="P375" s="117"/>
      <c r="Q375" s="117"/>
      <c r="R375" s="117"/>
      <c r="S375" s="117"/>
      <c r="T375" s="117"/>
      <c r="U375" s="117"/>
      <c r="V375" s="117"/>
      <c r="W375" s="117"/>
    </row>
    <row r="376" spans="1:23">
      <c r="C376" s="10"/>
    </row>
    <row r="377" spans="1:23">
      <c r="C377" s="10"/>
    </row>
    <row r="379" spans="1:23">
      <c r="C379" s="85"/>
    </row>
    <row r="384" spans="1:23">
      <c r="A384" s="10"/>
    </row>
    <row r="385" spans="1:23">
      <c r="A385" s="85"/>
    </row>
    <row r="393" spans="1:23">
      <c r="O393" s="10"/>
      <c r="P393" s="10"/>
      <c r="Q393" s="10"/>
      <c r="R393" s="10"/>
      <c r="S393" s="10"/>
      <c r="T393" s="10"/>
      <c r="U393" s="10"/>
      <c r="V393" s="10"/>
      <c r="W393" s="10"/>
    </row>
    <row r="395" spans="1:23">
      <c r="O395" s="85"/>
      <c r="P395" s="85"/>
      <c r="Q395" s="85"/>
      <c r="R395" s="85"/>
      <c r="S395" s="85"/>
      <c r="T395" s="85"/>
      <c r="U395" s="85"/>
      <c r="V395" s="85"/>
      <c r="W395" s="85"/>
    </row>
    <row r="396" spans="1:23">
      <c r="A396" s="85"/>
    </row>
    <row r="398" spans="1:23" ht="16.8">
      <c r="A398" s="112"/>
      <c r="B398" s="14"/>
    </row>
    <row r="399" spans="1:23" ht="16.8">
      <c r="A399" s="112"/>
      <c r="B399" s="14"/>
    </row>
    <row r="401" spans="1:23">
      <c r="D401" s="10"/>
    </row>
    <row r="402" spans="1:23" ht="15.6">
      <c r="A402" s="18"/>
      <c r="B402" s="17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</row>
    <row r="403" spans="1:23" ht="15.6">
      <c r="A403" s="18"/>
      <c r="B403" s="17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</row>
    <row r="404" spans="1:23" ht="15.6">
      <c r="A404" s="113"/>
      <c r="B404" s="114"/>
    </row>
    <row r="405" spans="1:23"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</row>
    <row r="408" spans="1:23">
      <c r="A408" s="85"/>
    </row>
    <row r="409" spans="1:23">
      <c r="O409" s="10"/>
      <c r="P409" s="10"/>
      <c r="Q409" s="10"/>
      <c r="R409" s="10"/>
      <c r="S409" s="10"/>
      <c r="T409" s="10"/>
      <c r="U409" s="10"/>
      <c r="V409" s="10"/>
      <c r="W409" s="10"/>
    </row>
    <row r="411" spans="1:23">
      <c r="O411" s="85"/>
      <c r="P411" s="85"/>
      <c r="Q411" s="85"/>
      <c r="R411" s="85"/>
      <c r="S411" s="85"/>
      <c r="T411" s="85"/>
      <c r="U411" s="85"/>
      <c r="V411" s="85"/>
      <c r="W411" s="85"/>
    </row>
    <row r="419" spans="1:23">
      <c r="O419" s="10"/>
      <c r="P419" s="10"/>
      <c r="Q419" s="10"/>
      <c r="R419" s="10"/>
      <c r="S419" s="10"/>
      <c r="T419" s="10"/>
      <c r="U419" s="10"/>
      <c r="V419" s="10"/>
      <c r="W419" s="10"/>
    </row>
    <row r="423" spans="1:23" ht="15.6"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8"/>
      <c r="P423" s="18"/>
      <c r="Q423" s="18"/>
      <c r="R423" s="18"/>
      <c r="S423" s="18"/>
      <c r="T423" s="18"/>
      <c r="U423" s="18"/>
      <c r="V423" s="18"/>
      <c r="W423" s="18"/>
    </row>
    <row r="425" spans="1:23"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</row>
    <row r="430" spans="1:23">
      <c r="A430" s="10"/>
    </row>
    <row r="431" spans="1:23">
      <c r="A431" s="85"/>
    </row>
    <row r="439" spans="1:14"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1" spans="1:14"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</row>
    <row r="446" spans="1:14">
      <c r="A446" s="10"/>
    </row>
    <row r="447" spans="1:14">
      <c r="A447" s="85"/>
    </row>
    <row r="449" spans="1:36"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3" spans="1:36" ht="15.6"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AI453" s="18"/>
      <c r="AJ453" s="18"/>
    </row>
    <row r="456" spans="1:36">
      <c r="A456" s="10"/>
    </row>
    <row r="459" spans="1:36" ht="15.6">
      <c r="A459" s="18"/>
      <c r="B459" s="17"/>
    </row>
    <row r="462" spans="1:36">
      <c r="A462" s="10"/>
      <c r="H462" s="85"/>
      <c r="I462" s="85"/>
    </row>
    <row r="463" spans="1:36">
      <c r="A463" s="10"/>
    </row>
    <row r="464" spans="1:36">
      <c r="C464" s="85"/>
      <c r="D464" s="85"/>
      <c r="F464" s="85"/>
      <c r="J464" s="85"/>
      <c r="K464" s="85"/>
      <c r="L464" s="85"/>
      <c r="M464" s="85"/>
      <c r="N464" s="85"/>
    </row>
    <row r="470" spans="1:1">
      <c r="A470" s="85"/>
    </row>
    <row r="472" spans="1:1">
      <c r="A472" s="10"/>
    </row>
    <row r="487" spans="15:23">
      <c r="O487" s="10"/>
      <c r="P487" s="10"/>
      <c r="Q487" s="10"/>
      <c r="R487" s="10"/>
      <c r="S487" s="10"/>
      <c r="T487" s="10"/>
      <c r="U487" s="10"/>
      <c r="V487" s="10"/>
      <c r="W487" s="10"/>
    </row>
    <row r="488" spans="15:23">
      <c r="O488" s="56"/>
      <c r="P488" s="56"/>
      <c r="Q488" s="56"/>
      <c r="R488" s="56"/>
      <c r="S488" s="56"/>
      <c r="T488" s="56"/>
      <c r="U488" s="56"/>
      <c r="V488" s="56"/>
      <c r="W488" s="56"/>
    </row>
    <row r="489" spans="15:23">
      <c r="O489" s="85"/>
      <c r="P489" s="85"/>
      <c r="Q489" s="85"/>
      <c r="R489" s="85"/>
      <c r="S489" s="85"/>
      <c r="T489" s="85"/>
      <c r="U489" s="85"/>
      <c r="V489" s="85"/>
      <c r="W489" s="85"/>
    </row>
    <row r="494" spans="15:23">
      <c r="O494" s="119"/>
      <c r="P494" s="119"/>
    </row>
    <row r="495" spans="15:23">
      <c r="O495" s="119"/>
      <c r="P495" s="119"/>
    </row>
    <row r="496" spans="15:23">
      <c r="O496" s="119"/>
      <c r="P496" s="119"/>
    </row>
    <row r="497" spans="1:23">
      <c r="O497" s="119"/>
      <c r="P497" s="119"/>
    </row>
    <row r="498" spans="1:23">
      <c r="O498" s="119"/>
      <c r="P498" s="119"/>
    </row>
    <row r="499" spans="1:23" ht="15.6" thickBot="1">
      <c r="O499" s="122"/>
      <c r="P499" s="122"/>
    </row>
    <row r="500" spans="1:23" ht="15.6" thickTop="1"/>
    <row r="502" spans="1:23">
      <c r="C502" s="85"/>
      <c r="D502" s="85"/>
      <c r="F502" s="85"/>
      <c r="I502" s="85"/>
      <c r="J502" s="85"/>
    </row>
    <row r="503" spans="1:23">
      <c r="I503" s="10"/>
    </row>
    <row r="505" spans="1:23" ht="15.6" thickBot="1"/>
    <row r="506" spans="1:23" ht="15.6" thickTop="1">
      <c r="O506" s="125"/>
      <c r="P506" s="125"/>
    </row>
    <row r="507" spans="1:23">
      <c r="O507" s="119"/>
      <c r="P507" s="119"/>
    </row>
    <row r="508" spans="1:23">
      <c r="A508" s="85"/>
      <c r="O508" s="127"/>
      <c r="P508" s="127"/>
      <c r="Q508" s="10"/>
      <c r="R508" s="10"/>
      <c r="S508" s="10"/>
      <c r="T508" s="10"/>
      <c r="U508" s="10"/>
      <c r="V508" s="10"/>
      <c r="W508" s="10"/>
    </row>
    <row r="509" spans="1:23">
      <c r="O509" s="128"/>
      <c r="P509" s="128"/>
      <c r="Q509" s="56"/>
      <c r="R509" s="56"/>
      <c r="S509" s="56"/>
      <c r="T509" s="56"/>
      <c r="U509" s="56"/>
      <c r="V509" s="56"/>
      <c r="W509" s="56"/>
    </row>
    <row r="510" spans="1:23">
      <c r="O510" s="129"/>
      <c r="P510" s="129"/>
      <c r="Q510" s="85"/>
      <c r="R510" s="85"/>
      <c r="S510" s="85"/>
      <c r="T510" s="85"/>
      <c r="U510" s="85"/>
      <c r="V510" s="85"/>
      <c r="W510" s="85"/>
    </row>
    <row r="511" spans="1:23">
      <c r="O511" s="119"/>
      <c r="P511" s="119"/>
    </row>
    <row r="512" spans="1:23">
      <c r="A512" s="10"/>
      <c r="O512" s="119"/>
      <c r="P512" s="119"/>
    </row>
    <row r="513" spans="1:16">
      <c r="O513" s="119"/>
      <c r="P513" s="119"/>
    </row>
    <row r="514" spans="1:16" ht="16.8">
      <c r="A514" s="112"/>
      <c r="B514" s="14"/>
      <c r="O514" s="119"/>
      <c r="P514" s="119"/>
    </row>
    <row r="515" spans="1:16" ht="16.8">
      <c r="A515" s="112"/>
      <c r="B515" s="14"/>
      <c r="O515" s="119"/>
      <c r="P515" s="119"/>
    </row>
    <row r="516" spans="1:16">
      <c r="C516" s="9"/>
      <c r="D516" s="9"/>
      <c r="E516" s="9"/>
      <c r="O516" s="119"/>
      <c r="P516" s="119"/>
    </row>
    <row r="517" spans="1:16" ht="15.6">
      <c r="A517" s="118"/>
      <c r="B517" s="17"/>
      <c r="K517" s="10"/>
      <c r="L517" s="10"/>
      <c r="M517" s="10"/>
      <c r="N517" s="10"/>
      <c r="O517" s="119"/>
      <c r="P517" s="119"/>
    </row>
    <row r="518" spans="1:16"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119"/>
      <c r="P518" s="119"/>
    </row>
    <row r="519" spans="1:16"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119"/>
      <c r="P519" s="119"/>
    </row>
    <row r="520" spans="1:16" ht="15.6" thickBot="1">
      <c r="O520" s="122"/>
      <c r="P520" s="122"/>
    </row>
    <row r="521" spans="1:16" ht="15.6" thickTop="1"/>
    <row r="525" spans="1:16">
      <c r="A525" s="85"/>
    </row>
    <row r="530" spans="1:23">
      <c r="A530" s="120"/>
    </row>
    <row r="531" spans="1:23">
      <c r="A531" s="120"/>
      <c r="O531" s="85"/>
      <c r="P531" s="85"/>
      <c r="Q531" s="85"/>
      <c r="R531" s="85"/>
      <c r="S531" s="85"/>
      <c r="T531" s="85"/>
      <c r="U531" s="85"/>
      <c r="V531" s="85"/>
      <c r="W531" s="85"/>
    </row>
    <row r="532" spans="1:23">
      <c r="A532" s="120"/>
    </row>
    <row r="533" spans="1:23">
      <c r="A533" s="120"/>
    </row>
    <row r="534" spans="1:23">
      <c r="A534" s="120"/>
    </row>
    <row r="535" spans="1:23" ht="15.6" thickBot="1">
      <c r="A535" s="123"/>
    </row>
    <row r="536" spans="1:23" ht="15.6" thickTop="1"/>
    <row r="537" spans="1:23">
      <c r="C537" s="9"/>
      <c r="D537" s="9"/>
      <c r="E537" s="9"/>
    </row>
    <row r="538" spans="1:23">
      <c r="A538" s="10"/>
      <c r="K538" s="10"/>
      <c r="L538" s="10"/>
      <c r="M538" s="10"/>
      <c r="N538" s="10"/>
    </row>
    <row r="539" spans="1:23"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</row>
    <row r="540" spans="1:23" ht="15.6">
      <c r="A540" s="118"/>
      <c r="B540" s="17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</row>
    <row r="541" spans="1:23" ht="15.6" thickBot="1"/>
    <row r="542" spans="1:23" ht="15.6" thickTop="1">
      <c r="A542" s="126"/>
    </row>
    <row r="543" spans="1:23">
      <c r="A543" s="120"/>
    </row>
    <row r="544" spans="1:23">
      <c r="A544" s="120"/>
    </row>
    <row r="545" spans="1:23">
      <c r="A545" s="120"/>
    </row>
    <row r="546" spans="1:23">
      <c r="A546" s="130"/>
    </row>
    <row r="547" spans="1:23">
      <c r="A547" s="120"/>
    </row>
    <row r="548" spans="1:23">
      <c r="A548" s="120"/>
    </row>
    <row r="549" spans="1:23">
      <c r="A549" s="120"/>
    </row>
    <row r="550" spans="1:23">
      <c r="A550" s="120"/>
    </row>
    <row r="551" spans="1:23">
      <c r="A551" s="120"/>
    </row>
    <row r="552" spans="1:23">
      <c r="A552" s="120"/>
    </row>
    <row r="553" spans="1:23">
      <c r="A553" s="120"/>
    </row>
    <row r="554" spans="1:23">
      <c r="A554" s="120"/>
    </row>
    <row r="555" spans="1:23">
      <c r="A555" s="120"/>
    </row>
    <row r="556" spans="1:23" ht="15.6" thickBot="1">
      <c r="A556" s="123"/>
      <c r="O556" s="85"/>
      <c r="P556" s="85"/>
      <c r="Q556" s="85"/>
      <c r="R556" s="85"/>
      <c r="S556" s="85"/>
      <c r="T556" s="85"/>
      <c r="U556" s="85"/>
      <c r="V556" s="85"/>
      <c r="W556" s="85"/>
    </row>
    <row r="557" spans="1:23" ht="15.6" thickTop="1"/>
    <row r="558" spans="1:23">
      <c r="C558" s="85"/>
      <c r="D558" s="85"/>
      <c r="E558" s="85"/>
      <c r="F558" s="85"/>
      <c r="G558" s="85"/>
    </row>
    <row r="559" spans="1:23">
      <c r="C559" s="9"/>
      <c r="D559" s="9"/>
      <c r="E559" s="9"/>
      <c r="F559" s="9"/>
      <c r="O559" s="85"/>
      <c r="P559" s="85"/>
      <c r="Q559" s="85"/>
      <c r="R559" s="85"/>
      <c r="S559" s="85"/>
      <c r="T559" s="85"/>
      <c r="U559" s="85"/>
      <c r="V559" s="85"/>
      <c r="W559" s="85"/>
    </row>
    <row r="560" spans="1:23">
      <c r="A560" s="10"/>
      <c r="F560" s="9"/>
      <c r="G560" s="9"/>
    </row>
    <row r="561" spans="1:14"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</row>
    <row r="563" spans="1:14">
      <c r="A563" s="10"/>
    </row>
    <row r="564" spans="1:14">
      <c r="A564" s="85"/>
    </row>
    <row r="567" spans="1:14">
      <c r="A567" s="85"/>
    </row>
    <row r="570" spans="1:14">
      <c r="A570" s="10"/>
    </row>
    <row r="574" spans="1:14">
      <c r="A574" s="10"/>
    </row>
    <row r="576" spans="1:14">
      <c r="A576" s="10"/>
    </row>
    <row r="578" spans="1:23">
      <c r="O578" s="85"/>
      <c r="P578" s="85"/>
      <c r="Q578" s="85"/>
      <c r="R578" s="85"/>
      <c r="S578" s="85"/>
      <c r="T578" s="85"/>
      <c r="U578" s="85"/>
      <c r="V578" s="85"/>
      <c r="W578" s="85"/>
    </row>
    <row r="580" spans="1:23">
      <c r="O580" s="9"/>
      <c r="P580" s="9"/>
      <c r="Q580" s="9"/>
      <c r="R580" s="9"/>
      <c r="S580" s="9"/>
      <c r="T580" s="9"/>
      <c r="U580" s="9"/>
      <c r="V580" s="9"/>
      <c r="W580" s="9"/>
    </row>
    <row r="581" spans="1:23">
      <c r="O581" s="85"/>
      <c r="P581" s="85"/>
      <c r="Q581" s="85"/>
      <c r="R581" s="85"/>
      <c r="S581" s="85"/>
      <c r="T581" s="85"/>
      <c r="U581" s="85"/>
      <c r="V581" s="85"/>
      <c r="W581" s="85"/>
    </row>
    <row r="586" spans="1:23"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</row>
    <row r="587" spans="1:23">
      <c r="C587" s="9"/>
      <c r="D587" s="9"/>
      <c r="E587" s="9"/>
      <c r="F587" s="9"/>
    </row>
    <row r="589" spans="1:23"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</row>
    <row r="591" spans="1:23">
      <c r="A591" s="10"/>
    </row>
    <row r="592" spans="1:23">
      <c r="A592" s="85"/>
    </row>
    <row r="595" spans="1:14">
      <c r="A595" s="85"/>
    </row>
    <row r="598" spans="1:14">
      <c r="A598" s="10"/>
    </row>
    <row r="602" spans="1:14">
      <c r="A602" s="10"/>
    </row>
    <row r="604" spans="1:14">
      <c r="A604" s="10"/>
    </row>
    <row r="608" spans="1:14"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</row>
    <row r="609" spans="1:14">
      <c r="C609" s="9"/>
      <c r="D609" s="9"/>
      <c r="E609" s="9"/>
      <c r="F609" s="9"/>
    </row>
    <row r="610" spans="1:14">
      <c r="J610" s="9"/>
      <c r="K610" s="9"/>
      <c r="L610" s="9"/>
      <c r="M610" s="9"/>
      <c r="N610" s="9"/>
    </row>
    <row r="611" spans="1:14"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</row>
    <row r="614" spans="1:14">
      <c r="A614" s="85"/>
    </row>
    <row r="617" spans="1:14">
      <c r="A617" s="85"/>
    </row>
    <row r="619" spans="1:14">
      <c r="A619" s="10"/>
    </row>
    <row r="621" spans="1:14">
      <c r="A621" s="10"/>
    </row>
    <row r="625" spans="1:7">
      <c r="A625" s="10"/>
    </row>
    <row r="627" spans="1:7">
      <c r="A627" s="10"/>
    </row>
    <row r="631" spans="1:7">
      <c r="C631" s="85"/>
      <c r="D631" s="85"/>
      <c r="E631" s="85"/>
      <c r="F631" s="85"/>
      <c r="G631" s="85"/>
    </row>
    <row r="632" spans="1:7">
      <c r="C632" s="9"/>
      <c r="D632" s="9"/>
      <c r="E632" s="9"/>
      <c r="F632" s="9"/>
      <c r="G632" s="9"/>
    </row>
    <row r="633" spans="1:7">
      <c r="F633" s="9"/>
      <c r="G633" s="9"/>
    </row>
    <row r="634" spans="1:7">
      <c r="A634" s="10"/>
      <c r="C634" s="85"/>
      <c r="D634" s="85"/>
      <c r="E634" s="85"/>
      <c r="F634" s="85"/>
      <c r="G634" s="85"/>
    </row>
    <row r="637" spans="1:7">
      <c r="A637" s="85"/>
    </row>
    <row r="640" spans="1:7">
      <c r="A640" s="85"/>
    </row>
    <row r="648" spans="1:9">
      <c r="C648" s="85"/>
      <c r="D648" s="85"/>
      <c r="E648" s="85"/>
      <c r="F648" s="85"/>
      <c r="G648" s="85"/>
      <c r="I648" s="85"/>
    </row>
    <row r="654" spans="1:9">
      <c r="A654" s="85"/>
    </row>
    <row r="655" spans="1:9">
      <c r="A655" s="10"/>
    </row>
    <row r="657" spans="1:14"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</row>
    <row r="659" spans="1:14">
      <c r="I659" s="9"/>
      <c r="J659" s="9"/>
      <c r="K659" s="9"/>
      <c r="L659" s="9"/>
      <c r="M659" s="9"/>
      <c r="N659" s="9"/>
    </row>
    <row r="660" spans="1:14">
      <c r="A660" s="10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</row>
    <row r="663" spans="1:14">
      <c r="A663" s="85"/>
    </row>
    <row r="666" spans="1:14">
      <c r="A666" s="85"/>
    </row>
    <row r="679" spans="1:14">
      <c r="A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</row>
    <row r="681" spans="1:14">
      <c r="I681" s="9"/>
      <c r="J681" s="9"/>
    </row>
    <row r="682" spans="1:14">
      <c r="A682" s="10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</row>
    <row r="685" spans="1:14">
      <c r="A685" s="85"/>
    </row>
    <row r="688" spans="1:14">
      <c r="A688" s="85"/>
    </row>
    <row r="695" spans="1:14"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</row>
    <row r="701" spans="1:14">
      <c r="A701" s="85"/>
    </row>
  </sheetData>
  <mergeCells count="2">
    <mergeCell ref="A6:D7"/>
    <mergeCell ref="A65:B65"/>
  </mergeCells>
  <printOptions horizontalCentered="1" verticalCentered="1"/>
  <pageMargins left="0" right="0" top="0" bottom="0" header="0" footer="0"/>
  <pageSetup paperSize="9" scale="12" orientation="landscape" horizontalDpi="360" verticalDpi="36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1302-D98D-49A5-94A8-49F4458E19BF}">
  <sheetPr>
    <tabColor theme="9" tint="-0.249977111117893"/>
    <pageSetUpPr fitToPage="1"/>
  </sheetPr>
  <dimension ref="A2:BY581"/>
  <sheetViews>
    <sheetView view="pageBreakPreview" topLeftCell="A3" zoomScale="60" zoomScaleNormal="75" workbookViewId="0">
      <pane xSplit="2" ySplit="12" topLeftCell="W15" activePane="bottomRight" state="frozen"/>
      <selection activeCell="B66" sqref="B66"/>
      <selection pane="topRight" activeCell="B66" sqref="B66"/>
      <selection pane="bottomLeft" activeCell="B66" sqref="B66"/>
      <selection pane="bottomRight" activeCell="Z39" sqref="Z39:AL39"/>
    </sheetView>
  </sheetViews>
  <sheetFormatPr baseColWidth="10" defaultColWidth="14.109375" defaultRowHeight="15"/>
  <cols>
    <col min="1" max="1" width="50.77734375" style="6" customWidth="1"/>
    <col min="2" max="2" width="50.77734375" style="7" customWidth="1"/>
    <col min="3" max="9" width="12" style="6" customWidth="1"/>
    <col min="10" max="23" width="10.77734375" style="6" customWidth="1"/>
    <col min="24" max="29" width="10.77734375" style="9" customWidth="1"/>
    <col min="30" max="31" width="11.44140625" style="9" customWidth="1"/>
    <col min="32" max="32" width="12.33203125" style="9" customWidth="1"/>
    <col min="33" max="33" width="11.44140625" style="9" customWidth="1"/>
    <col min="34" max="34" width="12" style="11" customWidth="1"/>
    <col min="35" max="35" width="15.77734375" style="6" customWidth="1"/>
    <col min="36" max="36" width="15" style="6" customWidth="1"/>
    <col min="37" max="38" width="15" style="11" customWidth="1"/>
    <col min="39" max="39" width="8.5546875" style="6" customWidth="1"/>
    <col min="40" max="40" width="12.77734375" style="6" customWidth="1"/>
    <col min="41" max="48" width="0" style="6" hidden="1" customWidth="1"/>
    <col min="49" max="49" width="15.6640625" style="6" hidden="1" customWidth="1"/>
    <col min="50" max="61" width="0" style="6" hidden="1" customWidth="1"/>
    <col min="62" max="62" width="4.77734375" style="6" customWidth="1"/>
    <col min="63" max="69" width="12" style="6" customWidth="1"/>
    <col min="70" max="73" width="10.77734375" style="6" customWidth="1"/>
    <col min="74" max="74" width="10.77734375" style="6" hidden="1" customWidth="1"/>
    <col min="75" max="75" width="9.5546875" style="6" hidden="1" customWidth="1"/>
    <col min="76" max="76" width="8.33203125" style="6" hidden="1" customWidth="1"/>
    <col min="77" max="77" width="10.77734375" style="6" hidden="1" customWidth="1"/>
    <col min="78" max="256" width="14.109375" style="11"/>
    <col min="257" max="258" width="50.77734375" style="11" customWidth="1"/>
    <col min="259" max="265" width="12" style="11" customWidth="1"/>
    <col min="266" max="285" width="10.77734375" style="11" customWidth="1"/>
    <col min="286" max="287" width="11.44140625" style="11" customWidth="1"/>
    <col min="288" max="288" width="12.33203125" style="11" customWidth="1"/>
    <col min="289" max="289" width="11.44140625" style="11" customWidth="1"/>
    <col min="290" max="290" width="12" style="11" customWidth="1"/>
    <col min="291" max="291" width="15.77734375" style="11" customWidth="1"/>
    <col min="292" max="294" width="15" style="11" customWidth="1"/>
    <col min="295" max="295" width="8.5546875" style="11" customWidth="1"/>
    <col min="296" max="296" width="12.77734375" style="11" customWidth="1"/>
    <col min="297" max="317" width="0" style="11" hidden="1" customWidth="1"/>
    <col min="318" max="318" width="4.77734375" style="11" customWidth="1"/>
    <col min="319" max="325" width="12" style="11" customWidth="1"/>
    <col min="326" max="329" width="10.77734375" style="11" customWidth="1"/>
    <col min="330" max="333" width="0" style="11" hidden="1" customWidth="1"/>
    <col min="334" max="512" width="14.109375" style="11"/>
    <col min="513" max="514" width="50.77734375" style="11" customWidth="1"/>
    <col min="515" max="521" width="12" style="11" customWidth="1"/>
    <col min="522" max="541" width="10.77734375" style="11" customWidth="1"/>
    <col min="542" max="543" width="11.44140625" style="11" customWidth="1"/>
    <col min="544" max="544" width="12.33203125" style="11" customWidth="1"/>
    <col min="545" max="545" width="11.44140625" style="11" customWidth="1"/>
    <col min="546" max="546" width="12" style="11" customWidth="1"/>
    <col min="547" max="547" width="15.77734375" style="11" customWidth="1"/>
    <col min="548" max="550" width="15" style="11" customWidth="1"/>
    <col min="551" max="551" width="8.5546875" style="11" customWidth="1"/>
    <col min="552" max="552" width="12.77734375" style="11" customWidth="1"/>
    <col min="553" max="573" width="0" style="11" hidden="1" customWidth="1"/>
    <col min="574" max="574" width="4.77734375" style="11" customWidth="1"/>
    <col min="575" max="581" width="12" style="11" customWidth="1"/>
    <col min="582" max="585" width="10.77734375" style="11" customWidth="1"/>
    <col min="586" max="589" width="0" style="11" hidden="1" customWidth="1"/>
    <col min="590" max="768" width="14.109375" style="11"/>
    <col min="769" max="770" width="50.77734375" style="11" customWidth="1"/>
    <col min="771" max="777" width="12" style="11" customWidth="1"/>
    <col min="778" max="797" width="10.77734375" style="11" customWidth="1"/>
    <col min="798" max="799" width="11.44140625" style="11" customWidth="1"/>
    <col min="800" max="800" width="12.33203125" style="11" customWidth="1"/>
    <col min="801" max="801" width="11.44140625" style="11" customWidth="1"/>
    <col min="802" max="802" width="12" style="11" customWidth="1"/>
    <col min="803" max="803" width="15.77734375" style="11" customWidth="1"/>
    <col min="804" max="806" width="15" style="11" customWidth="1"/>
    <col min="807" max="807" width="8.5546875" style="11" customWidth="1"/>
    <col min="808" max="808" width="12.77734375" style="11" customWidth="1"/>
    <col min="809" max="829" width="0" style="11" hidden="1" customWidth="1"/>
    <col min="830" max="830" width="4.77734375" style="11" customWidth="1"/>
    <col min="831" max="837" width="12" style="11" customWidth="1"/>
    <col min="838" max="841" width="10.77734375" style="11" customWidth="1"/>
    <col min="842" max="845" width="0" style="11" hidden="1" customWidth="1"/>
    <col min="846" max="1024" width="14.109375" style="11"/>
    <col min="1025" max="1026" width="50.77734375" style="11" customWidth="1"/>
    <col min="1027" max="1033" width="12" style="11" customWidth="1"/>
    <col min="1034" max="1053" width="10.77734375" style="11" customWidth="1"/>
    <col min="1054" max="1055" width="11.44140625" style="11" customWidth="1"/>
    <col min="1056" max="1056" width="12.33203125" style="11" customWidth="1"/>
    <col min="1057" max="1057" width="11.44140625" style="11" customWidth="1"/>
    <col min="1058" max="1058" width="12" style="11" customWidth="1"/>
    <col min="1059" max="1059" width="15.77734375" style="11" customWidth="1"/>
    <col min="1060" max="1062" width="15" style="11" customWidth="1"/>
    <col min="1063" max="1063" width="8.5546875" style="11" customWidth="1"/>
    <col min="1064" max="1064" width="12.77734375" style="11" customWidth="1"/>
    <col min="1065" max="1085" width="0" style="11" hidden="1" customWidth="1"/>
    <col min="1086" max="1086" width="4.77734375" style="11" customWidth="1"/>
    <col min="1087" max="1093" width="12" style="11" customWidth="1"/>
    <col min="1094" max="1097" width="10.77734375" style="11" customWidth="1"/>
    <col min="1098" max="1101" width="0" style="11" hidden="1" customWidth="1"/>
    <col min="1102" max="1280" width="14.109375" style="11"/>
    <col min="1281" max="1282" width="50.77734375" style="11" customWidth="1"/>
    <col min="1283" max="1289" width="12" style="11" customWidth="1"/>
    <col min="1290" max="1309" width="10.77734375" style="11" customWidth="1"/>
    <col min="1310" max="1311" width="11.44140625" style="11" customWidth="1"/>
    <col min="1312" max="1312" width="12.33203125" style="11" customWidth="1"/>
    <col min="1313" max="1313" width="11.44140625" style="11" customWidth="1"/>
    <col min="1314" max="1314" width="12" style="11" customWidth="1"/>
    <col min="1315" max="1315" width="15.77734375" style="11" customWidth="1"/>
    <col min="1316" max="1318" width="15" style="11" customWidth="1"/>
    <col min="1319" max="1319" width="8.5546875" style="11" customWidth="1"/>
    <col min="1320" max="1320" width="12.77734375" style="11" customWidth="1"/>
    <col min="1321" max="1341" width="0" style="11" hidden="1" customWidth="1"/>
    <col min="1342" max="1342" width="4.77734375" style="11" customWidth="1"/>
    <col min="1343" max="1349" width="12" style="11" customWidth="1"/>
    <col min="1350" max="1353" width="10.77734375" style="11" customWidth="1"/>
    <col min="1354" max="1357" width="0" style="11" hidden="1" customWidth="1"/>
    <col min="1358" max="1536" width="14.109375" style="11"/>
    <col min="1537" max="1538" width="50.77734375" style="11" customWidth="1"/>
    <col min="1539" max="1545" width="12" style="11" customWidth="1"/>
    <col min="1546" max="1565" width="10.77734375" style="11" customWidth="1"/>
    <col min="1566" max="1567" width="11.44140625" style="11" customWidth="1"/>
    <col min="1568" max="1568" width="12.33203125" style="11" customWidth="1"/>
    <col min="1569" max="1569" width="11.44140625" style="11" customWidth="1"/>
    <col min="1570" max="1570" width="12" style="11" customWidth="1"/>
    <col min="1571" max="1571" width="15.77734375" style="11" customWidth="1"/>
    <col min="1572" max="1574" width="15" style="11" customWidth="1"/>
    <col min="1575" max="1575" width="8.5546875" style="11" customWidth="1"/>
    <col min="1576" max="1576" width="12.77734375" style="11" customWidth="1"/>
    <col min="1577" max="1597" width="0" style="11" hidden="1" customWidth="1"/>
    <col min="1598" max="1598" width="4.77734375" style="11" customWidth="1"/>
    <col min="1599" max="1605" width="12" style="11" customWidth="1"/>
    <col min="1606" max="1609" width="10.77734375" style="11" customWidth="1"/>
    <col min="1610" max="1613" width="0" style="11" hidden="1" customWidth="1"/>
    <col min="1614" max="1792" width="14.109375" style="11"/>
    <col min="1793" max="1794" width="50.77734375" style="11" customWidth="1"/>
    <col min="1795" max="1801" width="12" style="11" customWidth="1"/>
    <col min="1802" max="1821" width="10.77734375" style="11" customWidth="1"/>
    <col min="1822" max="1823" width="11.44140625" style="11" customWidth="1"/>
    <col min="1824" max="1824" width="12.33203125" style="11" customWidth="1"/>
    <col min="1825" max="1825" width="11.44140625" style="11" customWidth="1"/>
    <col min="1826" max="1826" width="12" style="11" customWidth="1"/>
    <col min="1827" max="1827" width="15.77734375" style="11" customWidth="1"/>
    <col min="1828" max="1830" width="15" style="11" customWidth="1"/>
    <col min="1831" max="1831" width="8.5546875" style="11" customWidth="1"/>
    <col min="1832" max="1832" width="12.77734375" style="11" customWidth="1"/>
    <col min="1833" max="1853" width="0" style="11" hidden="1" customWidth="1"/>
    <col min="1854" max="1854" width="4.77734375" style="11" customWidth="1"/>
    <col min="1855" max="1861" width="12" style="11" customWidth="1"/>
    <col min="1862" max="1865" width="10.77734375" style="11" customWidth="1"/>
    <col min="1866" max="1869" width="0" style="11" hidden="1" customWidth="1"/>
    <col min="1870" max="2048" width="14.109375" style="11"/>
    <col min="2049" max="2050" width="50.77734375" style="11" customWidth="1"/>
    <col min="2051" max="2057" width="12" style="11" customWidth="1"/>
    <col min="2058" max="2077" width="10.77734375" style="11" customWidth="1"/>
    <col min="2078" max="2079" width="11.44140625" style="11" customWidth="1"/>
    <col min="2080" max="2080" width="12.33203125" style="11" customWidth="1"/>
    <col min="2081" max="2081" width="11.44140625" style="11" customWidth="1"/>
    <col min="2082" max="2082" width="12" style="11" customWidth="1"/>
    <col min="2083" max="2083" width="15.77734375" style="11" customWidth="1"/>
    <col min="2084" max="2086" width="15" style="11" customWidth="1"/>
    <col min="2087" max="2087" width="8.5546875" style="11" customWidth="1"/>
    <col min="2088" max="2088" width="12.77734375" style="11" customWidth="1"/>
    <col min="2089" max="2109" width="0" style="11" hidden="1" customWidth="1"/>
    <col min="2110" max="2110" width="4.77734375" style="11" customWidth="1"/>
    <col min="2111" max="2117" width="12" style="11" customWidth="1"/>
    <col min="2118" max="2121" width="10.77734375" style="11" customWidth="1"/>
    <col min="2122" max="2125" width="0" style="11" hidden="1" customWidth="1"/>
    <col min="2126" max="2304" width="14.109375" style="11"/>
    <col min="2305" max="2306" width="50.77734375" style="11" customWidth="1"/>
    <col min="2307" max="2313" width="12" style="11" customWidth="1"/>
    <col min="2314" max="2333" width="10.77734375" style="11" customWidth="1"/>
    <col min="2334" max="2335" width="11.44140625" style="11" customWidth="1"/>
    <col min="2336" max="2336" width="12.33203125" style="11" customWidth="1"/>
    <col min="2337" max="2337" width="11.44140625" style="11" customWidth="1"/>
    <col min="2338" max="2338" width="12" style="11" customWidth="1"/>
    <col min="2339" max="2339" width="15.77734375" style="11" customWidth="1"/>
    <col min="2340" max="2342" width="15" style="11" customWidth="1"/>
    <col min="2343" max="2343" width="8.5546875" style="11" customWidth="1"/>
    <col min="2344" max="2344" width="12.77734375" style="11" customWidth="1"/>
    <col min="2345" max="2365" width="0" style="11" hidden="1" customWidth="1"/>
    <col min="2366" max="2366" width="4.77734375" style="11" customWidth="1"/>
    <col min="2367" max="2373" width="12" style="11" customWidth="1"/>
    <col min="2374" max="2377" width="10.77734375" style="11" customWidth="1"/>
    <col min="2378" max="2381" width="0" style="11" hidden="1" customWidth="1"/>
    <col min="2382" max="2560" width="14.109375" style="11"/>
    <col min="2561" max="2562" width="50.77734375" style="11" customWidth="1"/>
    <col min="2563" max="2569" width="12" style="11" customWidth="1"/>
    <col min="2570" max="2589" width="10.77734375" style="11" customWidth="1"/>
    <col min="2590" max="2591" width="11.44140625" style="11" customWidth="1"/>
    <col min="2592" max="2592" width="12.33203125" style="11" customWidth="1"/>
    <col min="2593" max="2593" width="11.44140625" style="11" customWidth="1"/>
    <col min="2594" max="2594" width="12" style="11" customWidth="1"/>
    <col min="2595" max="2595" width="15.77734375" style="11" customWidth="1"/>
    <col min="2596" max="2598" width="15" style="11" customWidth="1"/>
    <col min="2599" max="2599" width="8.5546875" style="11" customWidth="1"/>
    <col min="2600" max="2600" width="12.77734375" style="11" customWidth="1"/>
    <col min="2601" max="2621" width="0" style="11" hidden="1" customWidth="1"/>
    <col min="2622" max="2622" width="4.77734375" style="11" customWidth="1"/>
    <col min="2623" max="2629" width="12" style="11" customWidth="1"/>
    <col min="2630" max="2633" width="10.77734375" style="11" customWidth="1"/>
    <col min="2634" max="2637" width="0" style="11" hidden="1" customWidth="1"/>
    <col min="2638" max="2816" width="14.109375" style="11"/>
    <col min="2817" max="2818" width="50.77734375" style="11" customWidth="1"/>
    <col min="2819" max="2825" width="12" style="11" customWidth="1"/>
    <col min="2826" max="2845" width="10.77734375" style="11" customWidth="1"/>
    <col min="2846" max="2847" width="11.44140625" style="11" customWidth="1"/>
    <col min="2848" max="2848" width="12.33203125" style="11" customWidth="1"/>
    <col min="2849" max="2849" width="11.44140625" style="11" customWidth="1"/>
    <col min="2850" max="2850" width="12" style="11" customWidth="1"/>
    <col min="2851" max="2851" width="15.77734375" style="11" customWidth="1"/>
    <col min="2852" max="2854" width="15" style="11" customWidth="1"/>
    <col min="2855" max="2855" width="8.5546875" style="11" customWidth="1"/>
    <col min="2856" max="2856" width="12.77734375" style="11" customWidth="1"/>
    <col min="2857" max="2877" width="0" style="11" hidden="1" customWidth="1"/>
    <col min="2878" max="2878" width="4.77734375" style="11" customWidth="1"/>
    <col min="2879" max="2885" width="12" style="11" customWidth="1"/>
    <col min="2886" max="2889" width="10.77734375" style="11" customWidth="1"/>
    <col min="2890" max="2893" width="0" style="11" hidden="1" customWidth="1"/>
    <col min="2894" max="3072" width="14.109375" style="11"/>
    <col min="3073" max="3074" width="50.77734375" style="11" customWidth="1"/>
    <col min="3075" max="3081" width="12" style="11" customWidth="1"/>
    <col min="3082" max="3101" width="10.77734375" style="11" customWidth="1"/>
    <col min="3102" max="3103" width="11.44140625" style="11" customWidth="1"/>
    <col min="3104" max="3104" width="12.33203125" style="11" customWidth="1"/>
    <col min="3105" max="3105" width="11.44140625" style="11" customWidth="1"/>
    <col min="3106" max="3106" width="12" style="11" customWidth="1"/>
    <col min="3107" max="3107" width="15.77734375" style="11" customWidth="1"/>
    <col min="3108" max="3110" width="15" style="11" customWidth="1"/>
    <col min="3111" max="3111" width="8.5546875" style="11" customWidth="1"/>
    <col min="3112" max="3112" width="12.77734375" style="11" customWidth="1"/>
    <col min="3113" max="3133" width="0" style="11" hidden="1" customWidth="1"/>
    <col min="3134" max="3134" width="4.77734375" style="11" customWidth="1"/>
    <col min="3135" max="3141" width="12" style="11" customWidth="1"/>
    <col min="3142" max="3145" width="10.77734375" style="11" customWidth="1"/>
    <col min="3146" max="3149" width="0" style="11" hidden="1" customWidth="1"/>
    <col min="3150" max="3328" width="14.109375" style="11"/>
    <col min="3329" max="3330" width="50.77734375" style="11" customWidth="1"/>
    <col min="3331" max="3337" width="12" style="11" customWidth="1"/>
    <col min="3338" max="3357" width="10.77734375" style="11" customWidth="1"/>
    <col min="3358" max="3359" width="11.44140625" style="11" customWidth="1"/>
    <col min="3360" max="3360" width="12.33203125" style="11" customWidth="1"/>
    <col min="3361" max="3361" width="11.44140625" style="11" customWidth="1"/>
    <col min="3362" max="3362" width="12" style="11" customWidth="1"/>
    <col min="3363" max="3363" width="15.77734375" style="11" customWidth="1"/>
    <col min="3364" max="3366" width="15" style="11" customWidth="1"/>
    <col min="3367" max="3367" width="8.5546875" style="11" customWidth="1"/>
    <col min="3368" max="3368" width="12.77734375" style="11" customWidth="1"/>
    <col min="3369" max="3389" width="0" style="11" hidden="1" customWidth="1"/>
    <col min="3390" max="3390" width="4.77734375" style="11" customWidth="1"/>
    <col min="3391" max="3397" width="12" style="11" customWidth="1"/>
    <col min="3398" max="3401" width="10.77734375" style="11" customWidth="1"/>
    <col min="3402" max="3405" width="0" style="11" hidden="1" customWidth="1"/>
    <col min="3406" max="3584" width="14.109375" style="11"/>
    <col min="3585" max="3586" width="50.77734375" style="11" customWidth="1"/>
    <col min="3587" max="3593" width="12" style="11" customWidth="1"/>
    <col min="3594" max="3613" width="10.77734375" style="11" customWidth="1"/>
    <col min="3614" max="3615" width="11.44140625" style="11" customWidth="1"/>
    <col min="3616" max="3616" width="12.33203125" style="11" customWidth="1"/>
    <col min="3617" max="3617" width="11.44140625" style="11" customWidth="1"/>
    <col min="3618" max="3618" width="12" style="11" customWidth="1"/>
    <col min="3619" max="3619" width="15.77734375" style="11" customWidth="1"/>
    <col min="3620" max="3622" width="15" style="11" customWidth="1"/>
    <col min="3623" max="3623" width="8.5546875" style="11" customWidth="1"/>
    <col min="3624" max="3624" width="12.77734375" style="11" customWidth="1"/>
    <col min="3625" max="3645" width="0" style="11" hidden="1" customWidth="1"/>
    <col min="3646" max="3646" width="4.77734375" style="11" customWidth="1"/>
    <col min="3647" max="3653" width="12" style="11" customWidth="1"/>
    <col min="3654" max="3657" width="10.77734375" style="11" customWidth="1"/>
    <col min="3658" max="3661" width="0" style="11" hidden="1" customWidth="1"/>
    <col min="3662" max="3840" width="14.109375" style="11"/>
    <col min="3841" max="3842" width="50.77734375" style="11" customWidth="1"/>
    <col min="3843" max="3849" width="12" style="11" customWidth="1"/>
    <col min="3850" max="3869" width="10.77734375" style="11" customWidth="1"/>
    <col min="3870" max="3871" width="11.44140625" style="11" customWidth="1"/>
    <col min="3872" max="3872" width="12.33203125" style="11" customWidth="1"/>
    <col min="3873" max="3873" width="11.44140625" style="11" customWidth="1"/>
    <col min="3874" max="3874" width="12" style="11" customWidth="1"/>
    <col min="3875" max="3875" width="15.77734375" style="11" customWidth="1"/>
    <col min="3876" max="3878" width="15" style="11" customWidth="1"/>
    <col min="3879" max="3879" width="8.5546875" style="11" customWidth="1"/>
    <col min="3880" max="3880" width="12.77734375" style="11" customWidth="1"/>
    <col min="3881" max="3901" width="0" style="11" hidden="1" customWidth="1"/>
    <col min="3902" max="3902" width="4.77734375" style="11" customWidth="1"/>
    <col min="3903" max="3909" width="12" style="11" customWidth="1"/>
    <col min="3910" max="3913" width="10.77734375" style="11" customWidth="1"/>
    <col min="3914" max="3917" width="0" style="11" hidden="1" customWidth="1"/>
    <col min="3918" max="4096" width="14.109375" style="11"/>
    <col min="4097" max="4098" width="50.77734375" style="11" customWidth="1"/>
    <col min="4099" max="4105" width="12" style="11" customWidth="1"/>
    <col min="4106" max="4125" width="10.77734375" style="11" customWidth="1"/>
    <col min="4126" max="4127" width="11.44140625" style="11" customWidth="1"/>
    <col min="4128" max="4128" width="12.33203125" style="11" customWidth="1"/>
    <col min="4129" max="4129" width="11.44140625" style="11" customWidth="1"/>
    <col min="4130" max="4130" width="12" style="11" customWidth="1"/>
    <col min="4131" max="4131" width="15.77734375" style="11" customWidth="1"/>
    <col min="4132" max="4134" width="15" style="11" customWidth="1"/>
    <col min="4135" max="4135" width="8.5546875" style="11" customWidth="1"/>
    <col min="4136" max="4136" width="12.77734375" style="11" customWidth="1"/>
    <col min="4137" max="4157" width="0" style="11" hidden="1" customWidth="1"/>
    <col min="4158" max="4158" width="4.77734375" style="11" customWidth="1"/>
    <col min="4159" max="4165" width="12" style="11" customWidth="1"/>
    <col min="4166" max="4169" width="10.77734375" style="11" customWidth="1"/>
    <col min="4170" max="4173" width="0" style="11" hidden="1" customWidth="1"/>
    <col min="4174" max="4352" width="14.109375" style="11"/>
    <col min="4353" max="4354" width="50.77734375" style="11" customWidth="1"/>
    <col min="4355" max="4361" width="12" style="11" customWidth="1"/>
    <col min="4362" max="4381" width="10.77734375" style="11" customWidth="1"/>
    <col min="4382" max="4383" width="11.44140625" style="11" customWidth="1"/>
    <col min="4384" max="4384" width="12.33203125" style="11" customWidth="1"/>
    <col min="4385" max="4385" width="11.44140625" style="11" customWidth="1"/>
    <col min="4386" max="4386" width="12" style="11" customWidth="1"/>
    <col min="4387" max="4387" width="15.77734375" style="11" customWidth="1"/>
    <col min="4388" max="4390" width="15" style="11" customWidth="1"/>
    <col min="4391" max="4391" width="8.5546875" style="11" customWidth="1"/>
    <col min="4392" max="4392" width="12.77734375" style="11" customWidth="1"/>
    <col min="4393" max="4413" width="0" style="11" hidden="1" customWidth="1"/>
    <col min="4414" max="4414" width="4.77734375" style="11" customWidth="1"/>
    <col min="4415" max="4421" width="12" style="11" customWidth="1"/>
    <col min="4422" max="4425" width="10.77734375" style="11" customWidth="1"/>
    <col min="4426" max="4429" width="0" style="11" hidden="1" customWidth="1"/>
    <col min="4430" max="4608" width="14.109375" style="11"/>
    <col min="4609" max="4610" width="50.77734375" style="11" customWidth="1"/>
    <col min="4611" max="4617" width="12" style="11" customWidth="1"/>
    <col min="4618" max="4637" width="10.77734375" style="11" customWidth="1"/>
    <col min="4638" max="4639" width="11.44140625" style="11" customWidth="1"/>
    <col min="4640" max="4640" width="12.33203125" style="11" customWidth="1"/>
    <col min="4641" max="4641" width="11.44140625" style="11" customWidth="1"/>
    <col min="4642" max="4642" width="12" style="11" customWidth="1"/>
    <col min="4643" max="4643" width="15.77734375" style="11" customWidth="1"/>
    <col min="4644" max="4646" width="15" style="11" customWidth="1"/>
    <col min="4647" max="4647" width="8.5546875" style="11" customWidth="1"/>
    <col min="4648" max="4648" width="12.77734375" style="11" customWidth="1"/>
    <col min="4649" max="4669" width="0" style="11" hidden="1" customWidth="1"/>
    <col min="4670" max="4670" width="4.77734375" style="11" customWidth="1"/>
    <col min="4671" max="4677" width="12" style="11" customWidth="1"/>
    <col min="4678" max="4681" width="10.77734375" style="11" customWidth="1"/>
    <col min="4682" max="4685" width="0" style="11" hidden="1" customWidth="1"/>
    <col min="4686" max="4864" width="14.109375" style="11"/>
    <col min="4865" max="4866" width="50.77734375" style="11" customWidth="1"/>
    <col min="4867" max="4873" width="12" style="11" customWidth="1"/>
    <col min="4874" max="4893" width="10.77734375" style="11" customWidth="1"/>
    <col min="4894" max="4895" width="11.44140625" style="11" customWidth="1"/>
    <col min="4896" max="4896" width="12.33203125" style="11" customWidth="1"/>
    <col min="4897" max="4897" width="11.44140625" style="11" customWidth="1"/>
    <col min="4898" max="4898" width="12" style="11" customWidth="1"/>
    <col min="4899" max="4899" width="15.77734375" style="11" customWidth="1"/>
    <col min="4900" max="4902" width="15" style="11" customWidth="1"/>
    <col min="4903" max="4903" width="8.5546875" style="11" customWidth="1"/>
    <col min="4904" max="4904" width="12.77734375" style="11" customWidth="1"/>
    <col min="4905" max="4925" width="0" style="11" hidden="1" customWidth="1"/>
    <col min="4926" max="4926" width="4.77734375" style="11" customWidth="1"/>
    <col min="4927" max="4933" width="12" style="11" customWidth="1"/>
    <col min="4934" max="4937" width="10.77734375" style="11" customWidth="1"/>
    <col min="4938" max="4941" width="0" style="11" hidden="1" customWidth="1"/>
    <col min="4942" max="5120" width="14.109375" style="11"/>
    <col min="5121" max="5122" width="50.77734375" style="11" customWidth="1"/>
    <col min="5123" max="5129" width="12" style="11" customWidth="1"/>
    <col min="5130" max="5149" width="10.77734375" style="11" customWidth="1"/>
    <col min="5150" max="5151" width="11.44140625" style="11" customWidth="1"/>
    <col min="5152" max="5152" width="12.33203125" style="11" customWidth="1"/>
    <col min="5153" max="5153" width="11.44140625" style="11" customWidth="1"/>
    <col min="5154" max="5154" width="12" style="11" customWidth="1"/>
    <col min="5155" max="5155" width="15.77734375" style="11" customWidth="1"/>
    <col min="5156" max="5158" width="15" style="11" customWidth="1"/>
    <col min="5159" max="5159" width="8.5546875" style="11" customWidth="1"/>
    <col min="5160" max="5160" width="12.77734375" style="11" customWidth="1"/>
    <col min="5161" max="5181" width="0" style="11" hidden="1" customWidth="1"/>
    <col min="5182" max="5182" width="4.77734375" style="11" customWidth="1"/>
    <col min="5183" max="5189" width="12" style="11" customWidth="1"/>
    <col min="5190" max="5193" width="10.77734375" style="11" customWidth="1"/>
    <col min="5194" max="5197" width="0" style="11" hidden="1" customWidth="1"/>
    <col min="5198" max="5376" width="14.109375" style="11"/>
    <col min="5377" max="5378" width="50.77734375" style="11" customWidth="1"/>
    <col min="5379" max="5385" width="12" style="11" customWidth="1"/>
    <col min="5386" max="5405" width="10.77734375" style="11" customWidth="1"/>
    <col min="5406" max="5407" width="11.44140625" style="11" customWidth="1"/>
    <col min="5408" max="5408" width="12.33203125" style="11" customWidth="1"/>
    <col min="5409" max="5409" width="11.44140625" style="11" customWidth="1"/>
    <col min="5410" max="5410" width="12" style="11" customWidth="1"/>
    <col min="5411" max="5411" width="15.77734375" style="11" customWidth="1"/>
    <col min="5412" max="5414" width="15" style="11" customWidth="1"/>
    <col min="5415" max="5415" width="8.5546875" style="11" customWidth="1"/>
    <col min="5416" max="5416" width="12.77734375" style="11" customWidth="1"/>
    <col min="5417" max="5437" width="0" style="11" hidden="1" customWidth="1"/>
    <col min="5438" max="5438" width="4.77734375" style="11" customWidth="1"/>
    <col min="5439" max="5445" width="12" style="11" customWidth="1"/>
    <col min="5446" max="5449" width="10.77734375" style="11" customWidth="1"/>
    <col min="5450" max="5453" width="0" style="11" hidden="1" customWidth="1"/>
    <col min="5454" max="5632" width="14.109375" style="11"/>
    <col min="5633" max="5634" width="50.77734375" style="11" customWidth="1"/>
    <col min="5635" max="5641" width="12" style="11" customWidth="1"/>
    <col min="5642" max="5661" width="10.77734375" style="11" customWidth="1"/>
    <col min="5662" max="5663" width="11.44140625" style="11" customWidth="1"/>
    <col min="5664" max="5664" width="12.33203125" style="11" customWidth="1"/>
    <col min="5665" max="5665" width="11.44140625" style="11" customWidth="1"/>
    <col min="5666" max="5666" width="12" style="11" customWidth="1"/>
    <col min="5667" max="5667" width="15.77734375" style="11" customWidth="1"/>
    <col min="5668" max="5670" width="15" style="11" customWidth="1"/>
    <col min="5671" max="5671" width="8.5546875" style="11" customWidth="1"/>
    <col min="5672" max="5672" width="12.77734375" style="11" customWidth="1"/>
    <col min="5673" max="5693" width="0" style="11" hidden="1" customWidth="1"/>
    <col min="5694" max="5694" width="4.77734375" style="11" customWidth="1"/>
    <col min="5695" max="5701" width="12" style="11" customWidth="1"/>
    <col min="5702" max="5705" width="10.77734375" style="11" customWidth="1"/>
    <col min="5706" max="5709" width="0" style="11" hidden="1" customWidth="1"/>
    <col min="5710" max="5888" width="14.109375" style="11"/>
    <col min="5889" max="5890" width="50.77734375" style="11" customWidth="1"/>
    <col min="5891" max="5897" width="12" style="11" customWidth="1"/>
    <col min="5898" max="5917" width="10.77734375" style="11" customWidth="1"/>
    <col min="5918" max="5919" width="11.44140625" style="11" customWidth="1"/>
    <col min="5920" max="5920" width="12.33203125" style="11" customWidth="1"/>
    <col min="5921" max="5921" width="11.44140625" style="11" customWidth="1"/>
    <col min="5922" max="5922" width="12" style="11" customWidth="1"/>
    <col min="5923" max="5923" width="15.77734375" style="11" customWidth="1"/>
    <col min="5924" max="5926" width="15" style="11" customWidth="1"/>
    <col min="5927" max="5927" width="8.5546875" style="11" customWidth="1"/>
    <col min="5928" max="5928" width="12.77734375" style="11" customWidth="1"/>
    <col min="5929" max="5949" width="0" style="11" hidden="1" customWidth="1"/>
    <col min="5950" max="5950" width="4.77734375" style="11" customWidth="1"/>
    <col min="5951" max="5957" width="12" style="11" customWidth="1"/>
    <col min="5958" max="5961" width="10.77734375" style="11" customWidth="1"/>
    <col min="5962" max="5965" width="0" style="11" hidden="1" customWidth="1"/>
    <col min="5966" max="6144" width="14.109375" style="11"/>
    <col min="6145" max="6146" width="50.77734375" style="11" customWidth="1"/>
    <col min="6147" max="6153" width="12" style="11" customWidth="1"/>
    <col min="6154" max="6173" width="10.77734375" style="11" customWidth="1"/>
    <col min="6174" max="6175" width="11.44140625" style="11" customWidth="1"/>
    <col min="6176" max="6176" width="12.33203125" style="11" customWidth="1"/>
    <col min="6177" max="6177" width="11.44140625" style="11" customWidth="1"/>
    <col min="6178" max="6178" width="12" style="11" customWidth="1"/>
    <col min="6179" max="6179" width="15.77734375" style="11" customWidth="1"/>
    <col min="6180" max="6182" width="15" style="11" customWidth="1"/>
    <col min="6183" max="6183" width="8.5546875" style="11" customWidth="1"/>
    <col min="6184" max="6184" width="12.77734375" style="11" customWidth="1"/>
    <col min="6185" max="6205" width="0" style="11" hidden="1" customWidth="1"/>
    <col min="6206" max="6206" width="4.77734375" style="11" customWidth="1"/>
    <col min="6207" max="6213" width="12" style="11" customWidth="1"/>
    <col min="6214" max="6217" width="10.77734375" style="11" customWidth="1"/>
    <col min="6218" max="6221" width="0" style="11" hidden="1" customWidth="1"/>
    <col min="6222" max="6400" width="14.109375" style="11"/>
    <col min="6401" max="6402" width="50.77734375" style="11" customWidth="1"/>
    <col min="6403" max="6409" width="12" style="11" customWidth="1"/>
    <col min="6410" max="6429" width="10.77734375" style="11" customWidth="1"/>
    <col min="6430" max="6431" width="11.44140625" style="11" customWidth="1"/>
    <col min="6432" max="6432" width="12.33203125" style="11" customWidth="1"/>
    <col min="6433" max="6433" width="11.44140625" style="11" customWidth="1"/>
    <col min="6434" max="6434" width="12" style="11" customWidth="1"/>
    <col min="6435" max="6435" width="15.77734375" style="11" customWidth="1"/>
    <col min="6436" max="6438" width="15" style="11" customWidth="1"/>
    <col min="6439" max="6439" width="8.5546875" style="11" customWidth="1"/>
    <col min="6440" max="6440" width="12.77734375" style="11" customWidth="1"/>
    <col min="6441" max="6461" width="0" style="11" hidden="1" customWidth="1"/>
    <col min="6462" max="6462" width="4.77734375" style="11" customWidth="1"/>
    <col min="6463" max="6469" width="12" style="11" customWidth="1"/>
    <col min="6470" max="6473" width="10.77734375" style="11" customWidth="1"/>
    <col min="6474" max="6477" width="0" style="11" hidden="1" customWidth="1"/>
    <col min="6478" max="6656" width="14.109375" style="11"/>
    <col min="6657" max="6658" width="50.77734375" style="11" customWidth="1"/>
    <col min="6659" max="6665" width="12" style="11" customWidth="1"/>
    <col min="6666" max="6685" width="10.77734375" style="11" customWidth="1"/>
    <col min="6686" max="6687" width="11.44140625" style="11" customWidth="1"/>
    <col min="6688" max="6688" width="12.33203125" style="11" customWidth="1"/>
    <col min="6689" max="6689" width="11.44140625" style="11" customWidth="1"/>
    <col min="6690" max="6690" width="12" style="11" customWidth="1"/>
    <col min="6691" max="6691" width="15.77734375" style="11" customWidth="1"/>
    <col min="6692" max="6694" width="15" style="11" customWidth="1"/>
    <col min="6695" max="6695" width="8.5546875" style="11" customWidth="1"/>
    <col min="6696" max="6696" width="12.77734375" style="11" customWidth="1"/>
    <col min="6697" max="6717" width="0" style="11" hidden="1" customWidth="1"/>
    <col min="6718" max="6718" width="4.77734375" style="11" customWidth="1"/>
    <col min="6719" max="6725" width="12" style="11" customWidth="1"/>
    <col min="6726" max="6729" width="10.77734375" style="11" customWidth="1"/>
    <col min="6730" max="6733" width="0" style="11" hidden="1" customWidth="1"/>
    <col min="6734" max="6912" width="14.109375" style="11"/>
    <col min="6913" max="6914" width="50.77734375" style="11" customWidth="1"/>
    <col min="6915" max="6921" width="12" style="11" customWidth="1"/>
    <col min="6922" max="6941" width="10.77734375" style="11" customWidth="1"/>
    <col min="6942" max="6943" width="11.44140625" style="11" customWidth="1"/>
    <col min="6944" max="6944" width="12.33203125" style="11" customWidth="1"/>
    <col min="6945" max="6945" width="11.44140625" style="11" customWidth="1"/>
    <col min="6946" max="6946" width="12" style="11" customWidth="1"/>
    <col min="6947" max="6947" width="15.77734375" style="11" customWidth="1"/>
    <col min="6948" max="6950" width="15" style="11" customWidth="1"/>
    <col min="6951" max="6951" width="8.5546875" style="11" customWidth="1"/>
    <col min="6952" max="6952" width="12.77734375" style="11" customWidth="1"/>
    <col min="6953" max="6973" width="0" style="11" hidden="1" customWidth="1"/>
    <col min="6974" max="6974" width="4.77734375" style="11" customWidth="1"/>
    <col min="6975" max="6981" width="12" style="11" customWidth="1"/>
    <col min="6982" max="6985" width="10.77734375" style="11" customWidth="1"/>
    <col min="6986" max="6989" width="0" style="11" hidden="1" customWidth="1"/>
    <col min="6990" max="7168" width="14.109375" style="11"/>
    <col min="7169" max="7170" width="50.77734375" style="11" customWidth="1"/>
    <col min="7171" max="7177" width="12" style="11" customWidth="1"/>
    <col min="7178" max="7197" width="10.77734375" style="11" customWidth="1"/>
    <col min="7198" max="7199" width="11.44140625" style="11" customWidth="1"/>
    <col min="7200" max="7200" width="12.33203125" style="11" customWidth="1"/>
    <col min="7201" max="7201" width="11.44140625" style="11" customWidth="1"/>
    <col min="7202" max="7202" width="12" style="11" customWidth="1"/>
    <col min="7203" max="7203" width="15.77734375" style="11" customWidth="1"/>
    <col min="7204" max="7206" width="15" style="11" customWidth="1"/>
    <col min="7207" max="7207" width="8.5546875" style="11" customWidth="1"/>
    <col min="7208" max="7208" width="12.77734375" style="11" customWidth="1"/>
    <col min="7209" max="7229" width="0" style="11" hidden="1" customWidth="1"/>
    <col min="7230" max="7230" width="4.77734375" style="11" customWidth="1"/>
    <col min="7231" max="7237" width="12" style="11" customWidth="1"/>
    <col min="7238" max="7241" width="10.77734375" style="11" customWidth="1"/>
    <col min="7242" max="7245" width="0" style="11" hidden="1" customWidth="1"/>
    <col min="7246" max="7424" width="14.109375" style="11"/>
    <col min="7425" max="7426" width="50.77734375" style="11" customWidth="1"/>
    <col min="7427" max="7433" width="12" style="11" customWidth="1"/>
    <col min="7434" max="7453" width="10.77734375" style="11" customWidth="1"/>
    <col min="7454" max="7455" width="11.44140625" style="11" customWidth="1"/>
    <col min="7456" max="7456" width="12.33203125" style="11" customWidth="1"/>
    <col min="7457" max="7457" width="11.44140625" style="11" customWidth="1"/>
    <col min="7458" max="7458" width="12" style="11" customWidth="1"/>
    <col min="7459" max="7459" width="15.77734375" style="11" customWidth="1"/>
    <col min="7460" max="7462" width="15" style="11" customWidth="1"/>
    <col min="7463" max="7463" width="8.5546875" style="11" customWidth="1"/>
    <col min="7464" max="7464" width="12.77734375" style="11" customWidth="1"/>
    <col min="7465" max="7485" width="0" style="11" hidden="1" customWidth="1"/>
    <col min="7486" max="7486" width="4.77734375" style="11" customWidth="1"/>
    <col min="7487" max="7493" width="12" style="11" customWidth="1"/>
    <col min="7494" max="7497" width="10.77734375" style="11" customWidth="1"/>
    <col min="7498" max="7501" width="0" style="11" hidden="1" customWidth="1"/>
    <col min="7502" max="7680" width="14.109375" style="11"/>
    <col min="7681" max="7682" width="50.77734375" style="11" customWidth="1"/>
    <col min="7683" max="7689" width="12" style="11" customWidth="1"/>
    <col min="7690" max="7709" width="10.77734375" style="11" customWidth="1"/>
    <col min="7710" max="7711" width="11.44140625" style="11" customWidth="1"/>
    <col min="7712" max="7712" width="12.33203125" style="11" customWidth="1"/>
    <col min="7713" max="7713" width="11.44140625" style="11" customWidth="1"/>
    <col min="7714" max="7714" width="12" style="11" customWidth="1"/>
    <col min="7715" max="7715" width="15.77734375" style="11" customWidth="1"/>
    <col min="7716" max="7718" width="15" style="11" customWidth="1"/>
    <col min="7719" max="7719" width="8.5546875" style="11" customWidth="1"/>
    <col min="7720" max="7720" width="12.77734375" style="11" customWidth="1"/>
    <col min="7721" max="7741" width="0" style="11" hidden="1" customWidth="1"/>
    <col min="7742" max="7742" width="4.77734375" style="11" customWidth="1"/>
    <col min="7743" max="7749" width="12" style="11" customWidth="1"/>
    <col min="7750" max="7753" width="10.77734375" style="11" customWidth="1"/>
    <col min="7754" max="7757" width="0" style="11" hidden="1" customWidth="1"/>
    <col min="7758" max="7936" width="14.109375" style="11"/>
    <col min="7937" max="7938" width="50.77734375" style="11" customWidth="1"/>
    <col min="7939" max="7945" width="12" style="11" customWidth="1"/>
    <col min="7946" max="7965" width="10.77734375" style="11" customWidth="1"/>
    <col min="7966" max="7967" width="11.44140625" style="11" customWidth="1"/>
    <col min="7968" max="7968" width="12.33203125" style="11" customWidth="1"/>
    <col min="7969" max="7969" width="11.44140625" style="11" customWidth="1"/>
    <col min="7970" max="7970" width="12" style="11" customWidth="1"/>
    <col min="7971" max="7971" width="15.77734375" style="11" customWidth="1"/>
    <col min="7972" max="7974" width="15" style="11" customWidth="1"/>
    <col min="7975" max="7975" width="8.5546875" style="11" customWidth="1"/>
    <col min="7976" max="7976" width="12.77734375" style="11" customWidth="1"/>
    <col min="7977" max="7997" width="0" style="11" hidden="1" customWidth="1"/>
    <col min="7998" max="7998" width="4.77734375" style="11" customWidth="1"/>
    <col min="7999" max="8005" width="12" style="11" customWidth="1"/>
    <col min="8006" max="8009" width="10.77734375" style="11" customWidth="1"/>
    <col min="8010" max="8013" width="0" style="11" hidden="1" customWidth="1"/>
    <col min="8014" max="8192" width="14.109375" style="11"/>
    <col min="8193" max="8194" width="50.77734375" style="11" customWidth="1"/>
    <col min="8195" max="8201" width="12" style="11" customWidth="1"/>
    <col min="8202" max="8221" width="10.77734375" style="11" customWidth="1"/>
    <col min="8222" max="8223" width="11.44140625" style="11" customWidth="1"/>
    <col min="8224" max="8224" width="12.33203125" style="11" customWidth="1"/>
    <col min="8225" max="8225" width="11.44140625" style="11" customWidth="1"/>
    <col min="8226" max="8226" width="12" style="11" customWidth="1"/>
    <col min="8227" max="8227" width="15.77734375" style="11" customWidth="1"/>
    <col min="8228" max="8230" width="15" style="11" customWidth="1"/>
    <col min="8231" max="8231" width="8.5546875" style="11" customWidth="1"/>
    <col min="8232" max="8232" width="12.77734375" style="11" customWidth="1"/>
    <col min="8233" max="8253" width="0" style="11" hidden="1" customWidth="1"/>
    <col min="8254" max="8254" width="4.77734375" style="11" customWidth="1"/>
    <col min="8255" max="8261" width="12" style="11" customWidth="1"/>
    <col min="8262" max="8265" width="10.77734375" style="11" customWidth="1"/>
    <col min="8266" max="8269" width="0" style="11" hidden="1" customWidth="1"/>
    <col min="8270" max="8448" width="14.109375" style="11"/>
    <col min="8449" max="8450" width="50.77734375" style="11" customWidth="1"/>
    <col min="8451" max="8457" width="12" style="11" customWidth="1"/>
    <col min="8458" max="8477" width="10.77734375" style="11" customWidth="1"/>
    <col min="8478" max="8479" width="11.44140625" style="11" customWidth="1"/>
    <col min="8480" max="8480" width="12.33203125" style="11" customWidth="1"/>
    <col min="8481" max="8481" width="11.44140625" style="11" customWidth="1"/>
    <col min="8482" max="8482" width="12" style="11" customWidth="1"/>
    <col min="8483" max="8483" width="15.77734375" style="11" customWidth="1"/>
    <col min="8484" max="8486" width="15" style="11" customWidth="1"/>
    <col min="8487" max="8487" width="8.5546875" style="11" customWidth="1"/>
    <col min="8488" max="8488" width="12.77734375" style="11" customWidth="1"/>
    <col min="8489" max="8509" width="0" style="11" hidden="1" customWidth="1"/>
    <col min="8510" max="8510" width="4.77734375" style="11" customWidth="1"/>
    <col min="8511" max="8517" width="12" style="11" customWidth="1"/>
    <col min="8518" max="8521" width="10.77734375" style="11" customWidth="1"/>
    <col min="8522" max="8525" width="0" style="11" hidden="1" customWidth="1"/>
    <col min="8526" max="8704" width="14.109375" style="11"/>
    <col min="8705" max="8706" width="50.77734375" style="11" customWidth="1"/>
    <col min="8707" max="8713" width="12" style="11" customWidth="1"/>
    <col min="8714" max="8733" width="10.77734375" style="11" customWidth="1"/>
    <col min="8734" max="8735" width="11.44140625" style="11" customWidth="1"/>
    <col min="8736" max="8736" width="12.33203125" style="11" customWidth="1"/>
    <col min="8737" max="8737" width="11.44140625" style="11" customWidth="1"/>
    <col min="8738" max="8738" width="12" style="11" customWidth="1"/>
    <col min="8739" max="8739" width="15.77734375" style="11" customWidth="1"/>
    <col min="8740" max="8742" width="15" style="11" customWidth="1"/>
    <col min="8743" max="8743" width="8.5546875" style="11" customWidth="1"/>
    <col min="8744" max="8744" width="12.77734375" style="11" customWidth="1"/>
    <col min="8745" max="8765" width="0" style="11" hidden="1" customWidth="1"/>
    <col min="8766" max="8766" width="4.77734375" style="11" customWidth="1"/>
    <col min="8767" max="8773" width="12" style="11" customWidth="1"/>
    <col min="8774" max="8777" width="10.77734375" style="11" customWidth="1"/>
    <col min="8778" max="8781" width="0" style="11" hidden="1" customWidth="1"/>
    <col min="8782" max="8960" width="14.109375" style="11"/>
    <col min="8961" max="8962" width="50.77734375" style="11" customWidth="1"/>
    <col min="8963" max="8969" width="12" style="11" customWidth="1"/>
    <col min="8970" max="8989" width="10.77734375" style="11" customWidth="1"/>
    <col min="8990" max="8991" width="11.44140625" style="11" customWidth="1"/>
    <col min="8992" max="8992" width="12.33203125" style="11" customWidth="1"/>
    <col min="8993" max="8993" width="11.44140625" style="11" customWidth="1"/>
    <col min="8994" max="8994" width="12" style="11" customWidth="1"/>
    <col min="8995" max="8995" width="15.77734375" style="11" customWidth="1"/>
    <col min="8996" max="8998" width="15" style="11" customWidth="1"/>
    <col min="8999" max="8999" width="8.5546875" style="11" customWidth="1"/>
    <col min="9000" max="9000" width="12.77734375" style="11" customWidth="1"/>
    <col min="9001" max="9021" width="0" style="11" hidden="1" customWidth="1"/>
    <col min="9022" max="9022" width="4.77734375" style="11" customWidth="1"/>
    <col min="9023" max="9029" width="12" style="11" customWidth="1"/>
    <col min="9030" max="9033" width="10.77734375" style="11" customWidth="1"/>
    <col min="9034" max="9037" width="0" style="11" hidden="1" customWidth="1"/>
    <col min="9038" max="9216" width="14.109375" style="11"/>
    <col min="9217" max="9218" width="50.77734375" style="11" customWidth="1"/>
    <col min="9219" max="9225" width="12" style="11" customWidth="1"/>
    <col min="9226" max="9245" width="10.77734375" style="11" customWidth="1"/>
    <col min="9246" max="9247" width="11.44140625" style="11" customWidth="1"/>
    <col min="9248" max="9248" width="12.33203125" style="11" customWidth="1"/>
    <col min="9249" max="9249" width="11.44140625" style="11" customWidth="1"/>
    <col min="9250" max="9250" width="12" style="11" customWidth="1"/>
    <col min="9251" max="9251" width="15.77734375" style="11" customWidth="1"/>
    <col min="9252" max="9254" width="15" style="11" customWidth="1"/>
    <col min="9255" max="9255" width="8.5546875" style="11" customWidth="1"/>
    <col min="9256" max="9256" width="12.77734375" style="11" customWidth="1"/>
    <col min="9257" max="9277" width="0" style="11" hidden="1" customWidth="1"/>
    <col min="9278" max="9278" width="4.77734375" style="11" customWidth="1"/>
    <col min="9279" max="9285" width="12" style="11" customWidth="1"/>
    <col min="9286" max="9289" width="10.77734375" style="11" customWidth="1"/>
    <col min="9290" max="9293" width="0" style="11" hidden="1" customWidth="1"/>
    <col min="9294" max="9472" width="14.109375" style="11"/>
    <col min="9473" max="9474" width="50.77734375" style="11" customWidth="1"/>
    <col min="9475" max="9481" width="12" style="11" customWidth="1"/>
    <col min="9482" max="9501" width="10.77734375" style="11" customWidth="1"/>
    <col min="9502" max="9503" width="11.44140625" style="11" customWidth="1"/>
    <col min="9504" max="9504" width="12.33203125" style="11" customWidth="1"/>
    <col min="9505" max="9505" width="11.44140625" style="11" customWidth="1"/>
    <col min="9506" max="9506" width="12" style="11" customWidth="1"/>
    <col min="9507" max="9507" width="15.77734375" style="11" customWidth="1"/>
    <col min="9508" max="9510" width="15" style="11" customWidth="1"/>
    <col min="9511" max="9511" width="8.5546875" style="11" customWidth="1"/>
    <col min="9512" max="9512" width="12.77734375" style="11" customWidth="1"/>
    <col min="9513" max="9533" width="0" style="11" hidden="1" customWidth="1"/>
    <col min="9534" max="9534" width="4.77734375" style="11" customWidth="1"/>
    <col min="9535" max="9541" width="12" style="11" customWidth="1"/>
    <col min="9542" max="9545" width="10.77734375" style="11" customWidth="1"/>
    <col min="9546" max="9549" width="0" style="11" hidden="1" customWidth="1"/>
    <col min="9550" max="9728" width="14.109375" style="11"/>
    <col min="9729" max="9730" width="50.77734375" style="11" customWidth="1"/>
    <col min="9731" max="9737" width="12" style="11" customWidth="1"/>
    <col min="9738" max="9757" width="10.77734375" style="11" customWidth="1"/>
    <col min="9758" max="9759" width="11.44140625" style="11" customWidth="1"/>
    <col min="9760" max="9760" width="12.33203125" style="11" customWidth="1"/>
    <col min="9761" max="9761" width="11.44140625" style="11" customWidth="1"/>
    <col min="9762" max="9762" width="12" style="11" customWidth="1"/>
    <col min="9763" max="9763" width="15.77734375" style="11" customWidth="1"/>
    <col min="9764" max="9766" width="15" style="11" customWidth="1"/>
    <col min="9767" max="9767" width="8.5546875" style="11" customWidth="1"/>
    <col min="9768" max="9768" width="12.77734375" style="11" customWidth="1"/>
    <col min="9769" max="9789" width="0" style="11" hidden="1" customWidth="1"/>
    <col min="9790" max="9790" width="4.77734375" style="11" customWidth="1"/>
    <col min="9791" max="9797" width="12" style="11" customWidth="1"/>
    <col min="9798" max="9801" width="10.77734375" style="11" customWidth="1"/>
    <col min="9802" max="9805" width="0" style="11" hidden="1" customWidth="1"/>
    <col min="9806" max="9984" width="14.109375" style="11"/>
    <col min="9985" max="9986" width="50.77734375" style="11" customWidth="1"/>
    <col min="9987" max="9993" width="12" style="11" customWidth="1"/>
    <col min="9994" max="10013" width="10.77734375" style="11" customWidth="1"/>
    <col min="10014" max="10015" width="11.44140625" style="11" customWidth="1"/>
    <col min="10016" max="10016" width="12.33203125" style="11" customWidth="1"/>
    <col min="10017" max="10017" width="11.44140625" style="11" customWidth="1"/>
    <col min="10018" max="10018" width="12" style="11" customWidth="1"/>
    <col min="10019" max="10019" width="15.77734375" style="11" customWidth="1"/>
    <col min="10020" max="10022" width="15" style="11" customWidth="1"/>
    <col min="10023" max="10023" width="8.5546875" style="11" customWidth="1"/>
    <col min="10024" max="10024" width="12.77734375" style="11" customWidth="1"/>
    <col min="10025" max="10045" width="0" style="11" hidden="1" customWidth="1"/>
    <col min="10046" max="10046" width="4.77734375" style="11" customWidth="1"/>
    <col min="10047" max="10053" width="12" style="11" customWidth="1"/>
    <col min="10054" max="10057" width="10.77734375" style="11" customWidth="1"/>
    <col min="10058" max="10061" width="0" style="11" hidden="1" customWidth="1"/>
    <col min="10062" max="10240" width="14.109375" style="11"/>
    <col min="10241" max="10242" width="50.77734375" style="11" customWidth="1"/>
    <col min="10243" max="10249" width="12" style="11" customWidth="1"/>
    <col min="10250" max="10269" width="10.77734375" style="11" customWidth="1"/>
    <col min="10270" max="10271" width="11.44140625" style="11" customWidth="1"/>
    <col min="10272" max="10272" width="12.33203125" style="11" customWidth="1"/>
    <col min="10273" max="10273" width="11.44140625" style="11" customWidth="1"/>
    <col min="10274" max="10274" width="12" style="11" customWidth="1"/>
    <col min="10275" max="10275" width="15.77734375" style="11" customWidth="1"/>
    <col min="10276" max="10278" width="15" style="11" customWidth="1"/>
    <col min="10279" max="10279" width="8.5546875" style="11" customWidth="1"/>
    <col min="10280" max="10280" width="12.77734375" style="11" customWidth="1"/>
    <col min="10281" max="10301" width="0" style="11" hidden="1" customWidth="1"/>
    <col min="10302" max="10302" width="4.77734375" style="11" customWidth="1"/>
    <col min="10303" max="10309" width="12" style="11" customWidth="1"/>
    <col min="10310" max="10313" width="10.77734375" style="11" customWidth="1"/>
    <col min="10314" max="10317" width="0" style="11" hidden="1" customWidth="1"/>
    <col min="10318" max="10496" width="14.109375" style="11"/>
    <col min="10497" max="10498" width="50.77734375" style="11" customWidth="1"/>
    <col min="10499" max="10505" width="12" style="11" customWidth="1"/>
    <col min="10506" max="10525" width="10.77734375" style="11" customWidth="1"/>
    <col min="10526" max="10527" width="11.44140625" style="11" customWidth="1"/>
    <col min="10528" max="10528" width="12.33203125" style="11" customWidth="1"/>
    <col min="10529" max="10529" width="11.44140625" style="11" customWidth="1"/>
    <col min="10530" max="10530" width="12" style="11" customWidth="1"/>
    <col min="10531" max="10531" width="15.77734375" style="11" customWidth="1"/>
    <col min="10532" max="10534" width="15" style="11" customWidth="1"/>
    <col min="10535" max="10535" width="8.5546875" style="11" customWidth="1"/>
    <col min="10536" max="10536" width="12.77734375" style="11" customWidth="1"/>
    <col min="10537" max="10557" width="0" style="11" hidden="1" customWidth="1"/>
    <col min="10558" max="10558" width="4.77734375" style="11" customWidth="1"/>
    <col min="10559" max="10565" width="12" style="11" customWidth="1"/>
    <col min="10566" max="10569" width="10.77734375" style="11" customWidth="1"/>
    <col min="10570" max="10573" width="0" style="11" hidden="1" customWidth="1"/>
    <col min="10574" max="10752" width="14.109375" style="11"/>
    <col min="10753" max="10754" width="50.77734375" style="11" customWidth="1"/>
    <col min="10755" max="10761" width="12" style="11" customWidth="1"/>
    <col min="10762" max="10781" width="10.77734375" style="11" customWidth="1"/>
    <col min="10782" max="10783" width="11.44140625" style="11" customWidth="1"/>
    <col min="10784" max="10784" width="12.33203125" style="11" customWidth="1"/>
    <col min="10785" max="10785" width="11.44140625" style="11" customWidth="1"/>
    <col min="10786" max="10786" width="12" style="11" customWidth="1"/>
    <col min="10787" max="10787" width="15.77734375" style="11" customWidth="1"/>
    <col min="10788" max="10790" width="15" style="11" customWidth="1"/>
    <col min="10791" max="10791" width="8.5546875" style="11" customWidth="1"/>
    <col min="10792" max="10792" width="12.77734375" style="11" customWidth="1"/>
    <col min="10793" max="10813" width="0" style="11" hidden="1" customWidth="1"/>
    <col min="10814" max="10814" width="4.77734375" style="11" customWidth="1"/>
    <col min="10815" max="10821" width="12" style="11" customWidth="1"/>
    <col min="10822" max="10825" width="10.77734375" style="11" customWidth="1"/>
    <col min="10826" max="10829" width="0" style="11" hidden="1" customWidth="1"/>
    <col min="10830" max="11008" width="14.109375" style="11"/>
    <col min="11009" max="11010" width="50.77734375" style="11" customWidth="1"/>
    <col min="11011" max="11017" width="12" style="11" customWidth="1"/>
    <col min="11018" max="11037" width="10.77734375" style="11" customWidth="1"/>
    <col min="11038" max="11039" width="11.44140625" style="11" customWidth="1"/>
    <col min="11040" max="11040" width="12.33203125" style="11" customWidth="1"/>
    <col min="11041" max="11041" width="11.44140625" style="11" customWidth="1"/>
    <col min="11042" max="11042" width="12" style="11" customWidth="1"/>
    <col min="11043" max="11043" width="15.77734375" style="11" customWidth="1"/>
    <col min="11044" max="11046" width="15" style="11" customWidth="1"/>
    <col min="11047" max="11047" width="8.5546875" style="11" customWidth="1"/>
    <col min="11048" max="11048" width="12.77734375" style="11" customWidth="1"/>
    <col min="11049" max="11069" width="0" style="11" hidden="1" customWidth="1"/>
    <col min="11070" max="11070" width="4.77734375" style="11" customWidth="1"/>
    <col min="11071" max="11077" width="12" style="11" customWidth="1"/>
    <col min="11078" max="11081" width="10.77734375" style="11" customWidth="1"/>
    <col min="11082" max="11085" width="0" style="11" hidden="1" customWidth="1"/>
    <col min="11086" max="11264" width="14.109375" style="11"/>
    <col min="11265" max="11266" width="50.77734375" style="11" customWidth="1"/>
    <col min="11267" max="11273" width="12" style="11" customWidth="1"/>
    <col min="11274" max="11293" width="10.77734375" style="11" customWidth="1"/>
    <col min="11294" max="11295" width="11.44140625" style="11" customWidth="1"/>
    <col min="11296" max="11296" width="12.33203125" style="11" customWidth="1"/>
    <col min="11297" max="11297" width="11.44140625" style="11" customWidth="1"/>
    <col min="11298" max="11298" width="12" style="11" customWidth="1"/>
    <col min="11299" max="11299" width="15.77734375" style="11" customWidth="1"/>
    <col min="11300" max="11302" width="15" style="11" customWidth="1"/>
    <col min="11303" max="11303" width="8.5546875" style="11" customWidth="1"/>
    <col min="11304" max="11304" width="12.77734375" style="11" customWidth="1"/>
    <col min="11305" max="11325" width="0" style="11" hidden="1" customWidth="1"/>
    <col min="11326" max="11326" width="4.77734375" style="11" customWidth="1"/>
    <col min="11327" max="11333" width="12" style="11" customWidth="1"/>
    <col min="11334" max="11337" width="10.77734375" style="11" customWidth="1"/>
    <col min="11338" max="11341" width="0" style="11" hidden="1" customWidth="1"/>
    <col min="11342" max="11520" width="14.109375" style="11"/>
    <col min="11521" max="11522" width="50.77734375" style="11" customWidth="1"/>
    <col min="11523" max="11529" width="12" style="11" customWidth="1"/>
    <col min="11530" max="11549" width="10.77734375" style="11" customWidth="1"/>
    <col min="11550" max="11551" width="11.44140625" style="11" customWidth="1"/>
    <col min="11552" max="11552" width="12.33203125" style="11" customWidth="1"/>
    <col min="11553" max="11553" width="11.44140625" style="11" customWidth="1"/>
    <col min="11554" max="11554" width="12" style="11" customWidth="1"/>
    <col min="11555" max="11555" width="15.77734375" style="11" customWidth="1"/>
    <col min="11556" max="11558" width="15" style="11" customWidth="1"/>
    <col min="11559" max="11559" width="8.5546875" style="11" customWidth="1"/>
    <col min="11560" max="11560" width="12.77734375" style="11" customWidth="1"/>
    <col min="11561" max="11581" width="0" style="11" hidden="1" customWidth="1"/>
    <col min="11582" max="11582" width="4.77734375" style="11" customWidth="1"/>
    <col min="11583" max="11589" width="12" style="11" customWidth="1"/>
    <col min="11590" max="11593" width="10.77734375" style="11" customWidth="1"/>
    <col min="11594" max="11597" width="0" style="11" hidden="1" customWidth="1"/>
    <col min="11598" max="11776" width="14.109375" style="11"/>
    <col min="11777" max="11778" width="50.77734375" style="11" customWidth="1"/>
    <col min="11779" max="11785" width="12" style="11" customWidth="1"/>
    <col min="11786" max="11805" width="10.77734375" style="11" customWidth="1"/>
    <col min="11806" max="11807" width="11.44140625" style="11" customWidth="1"/>
    <col min="11808" max="11808" width="12.33203125" style="11" customWidth="1"/>
    <col min="11809" max="11809" width="11.44140625" style="11" customWidth="1"/>
    <col min="11810" max="11810" width="12" style="11" customWidth="1"/>
    <col min="11811" max="11811" width="15.77734375" style="11" customWidth="1"/>
    <col min="11812" max="11814" width="15" style="11" customWidth="1"/>
    <col min="11815" max="11815" width="8.5546875" style="11" customWidth="1"/>
    <col min="11816" max="11816" width="12.77734375" style="11" customWidth="1"/>
    <col min="11817" max="11837" width="0" style="11" hidden="1" customWidth="1"/>
    <col min="11838" max="11838" width="4.77734375" style="11" customWidth="1"/>
    <col min="11839" max="11845" width="12" style="11" customWidth="1"/>
    <col min="11846" max="11849" width="10.77734375" style="11" customWidth="1"/>
    <col min="11850" max="11853" width="0" style="11" hidden="1" customWidth="1"/>
    <col min="11854" max="12032" width="14.109375" style="11"/>
    <col min="12033" max="12034" width="50.77734375" style="11" customWidth="1"/>
    <col min="12035" max="12041" width="12" style="11" customWidth="1"/>
    <col min="12042" max="12061" width="10.77734375" style="11" customWidth="1"/>
    <col min="12062" max="12063" width="11.44140625" style="11" customWidth="1"/>
    <col min="12064" max="12064" width="12.33203125" style="11" customWidth="1"/>
    <col min="12065" max="12065" width="11.44140625" style="11" customWidth="1"/>
    <col min="12066" max="12066" width="12" style="11" customWidth="1"/>
    <col min="12067" max="12067" width="15.77734375" style="11" customWidth="1"/>
    <col min="12068" max="12070" width="15" style="11" customWidth="1"/>
    <col min="12071" max="12071" width="8.5546875" style="11" customWidth="1"/>
    <col min="12072" max="12072" width="12.77734375" style="11" customWidth="1"/>
    <col min="12073" max="12093" width="0" style="11" hidden="1" customWidth="1"/>
    <col min="12094" max="12094" width="4.77734375" style="11" customWidth="1"/>
    <col min="12095" max="12101" width="12" style="11" customWidth="1"/>
    <col min="12102" max="12105" width="10.77734375" style="11" customWidth="1"/>
    <col min="12106" max="12109" width="0" style="11" hidden="1" customWidth="1"/>
    <col min="12110" max="12288" width="14.109375" style="11"/>
    <col min="12289" max="12290" width="50.77734375" style="11" customWidth="1"/>
    <col min="12291" max="12297" width="12" style="11" customWidth="1"/>
    <col min="12298" max="12317" width="10.77734375" style="11" customWidth="1"/>
    <col min="12318" max="12319" width="11.44140625" style="11" customWidth="1"/>
    <col min="12320" max="12320" width="12.33203125" style="11" customWidth="1"/>
    <col min="12321" max="12321" width="11.44140625" style="11" customWidth="1"/>
    <col min="12322" max="12322" width="12" style="11" customWidth="1"/>
    <col min="12323" max="12323" width="15.77734375" style="11" customWidth="1"/>
    <col min="12324" max="12326" width="15" style="11" customWidth="1"/>
    <col min="12327" max="12327" width="8.5546875" style="11" customWidth="1"/>
    <col min="12328" max="12328" width="12.77734375" style="11" customWidth="1"/>
    <col min="12329" max="12349" width="0" style="11" hidden="1" customWidth="1"/>
    <col min="12350" max="12350" width="4.77734375" style="11" customWidth="1"/>
    <col min="12351" max="12357" width="12" style="11" customWidth="1"/>
    <col min="12358" max="12361" width="10.77734375" style="11" customWidth="1"/>
    <col min="12362" max="12365" width="0" style="11" hidden="1" customWidth="1"/>
    <col min="12366" max="12544" width="14.109375" style="11"/>
    <col min="12545" max="12546" width="50.77734375" style="11" customWidth="1"/>
    <col min="12547" max="12553" width="12" style="11" customWidth="1"/>
    <col min="12554" max="12573" width="10.77734375" style="11" customWidth="1"/>
    <col min="12574" max="12575" width="11.44140625" style="11" customWidth="1"/>
    <col min="12576" max="12576" width="12.33203125" style="11" customWidth="1"/>
    <col min="12577" max="12577" width="11.44140625" style="11" customWidth="1"/>
    <col min="12578" max="12578" width="12" style="11" customWidth="1"/>
    <col min="12579" max="12579" width="15.77734375" style="11" customWidth="1"/>
    <col min="12580" max="12582" width="15" style="11" customWidth="1"/>
    <col min="12583" max="12583" width="8.5546875" style="11" customWidth="1"/>
    <col min="12584" max="12584" width="12.77734375" style="11" customWidth="1"/>
    <col min="12585" max="12605" width="0" style="11" hidden="1" customWidth="1"/>
    <col min="12606" max="12606" width="4.77734375" style="11" customWidth="1"/>
    <col min="12607" max="12613" width="12" style="11" customWidth="1"/>
    <col min="12614" max="12617" width="10.77734375" style="11" customWidth="1"/>
    <col min="12618" max="12621" width="0" style="11" hidden="1" customWidth="1"/>
    <col min="12622" max="12800" width="14.109375" style="11"/>
    <col min="12801" max="12802" width="50.77734375" style="11" customWidth="1"/>
    <col min="12803" max="12809" width="12" style="11" customWidth="1"/>
    <col min="12810" max="12829" width="10.77734375" style="11" customWidth="1"/>
    <col min="12830" max="12831" width="11.44140625" style="11" customWidth="1"/>
    <col min="12832" max="12832" width="12.33203125" style="11" customWidth="1"/>
    <col min="12833" max="12833" width="11.44140625" style="11" customWidth="1"/>
    <col min="12834" max="12834" width="12" style="11" customWidth="1"/>
    <col min="12835" max="12835" width="15.77734375" style="11" customWidth="1"/>
    <col min="12836" max="12838" width="15" style="11" customWidth="1"/>
    <col min="12839" max="12839" width="8.5546875" style="11" customWidth="1"/>
    <col min="12840" max="12840" width="12.77734375" style="11" customWidth="1"/>
    <col min="12841" max="12861" width="0" style="11" hidden="1" customWidth="1"/>
    <col min="12862" max="12862" width="4.77734375" style="11" customWidth="1"/>
    <col min="12863" max="12869" width="12" style="11" customWidth="1"/>
    <col min="12870" max="12873" width="10.77734375" style="11" customWidth="1"/>
    <col min="12874" max="12877" width="0" style="11" hidden="1" customWidth="1"/>
    <col min="12878" max="13056" width="14.109375" style="11"/>
    <col min="13057" max="13058" width="50.77734375" style="11" customWidth="1"/>
    <col min="13059" max="13065" width="12" style="11" customWidth="1"/>
    <col min="13066" max="13085" width="10.77734375" style="11" customWidth="1"/>
    <col min="13086" max="13087" width="11.44140625" style="11" customWidth="1"/>
    <col min="13088" max="13088" width="12.33203125" style="11" customWidth="1"/>
    <col min="13089" max="13089" width="11.44140625" style="11" customWidth="1"/>
    <col min="13090" max="13090" width="12" style="11" customWidth="1"/>
    <col min="13091" max="13091" width="15.77734375" style="11" customWidth="1"/>
    <col min="13092" max="13094" width="15" style="11" customWidth="1"/>
    <col min="13095" max="13095" width="8.5546875" style="11" customWidth="1"/>
    <col min="13096" max="13096" width="12.77734375" style="11" customWidth="1"/>
    <col min="13097" max="13117" width="0" style="11" hidden="1" customWidth="1"/>
    <col min="13118" max="13118" width="4.77734375" style="11" customWidth="1"/>
    <col min="13119" max="13125" width="12" style="11" customWidth="1"/>
    <col min="13126" max="13129" width="10.77734375" style="11" customWidth="1"/>
    <col min="13130" max="13133" width="0" style="11" hidden="1" customWidth="1"/>
    <col min="13134" max="13312" width="14.109375" style="11"/>
    <col min="13313" max="13314" width="50.77734375" style="11" customWidth="1"/>
    <col min="13315" max="13321" width="12" style="11" customWidth="1"/>
    <col min="13322" max="13341" width="10.77734375" style="11" customWidth="1"/>
    <col min="13342" max="13343" width="11.44140625" style="11" customWidth="1"/>
    <col min="13344" max="13344" width="12.33203125" style="11" customWidth="1"/>
    <col min="13345" max="13345" width="11.44140625" style="11" customWidth="1"/>
    <col min="13346" max="13346" width="12" style="11" customWidth="1"/>
    <col min="13347" max="13347" width="15.77734375" style="11" customWidth="1"/>
    <col min="13348" max="13350" width="15" style="11" customWidth="1"/>
    <col min="13351" max="13351" width="8.5546875" style="11" customWidth="1"/>
    <col min="13352" max="13352" width="12.77734375" style="11" customWidth="1"/>
    <col min="13353" max="13373" width="0" style="11" hidden="1" customWidth="1"/>
    <col min="13374" max="13374" width="4.77734375" style="11" customWidth="1"/>
    <col min="13375" max="13381" width="12" style="11" customWidth="1"/>
    <col min="13382" max="13385" width="10.77734375" style="11" customWidth="1"/>
    <col min="13386" max="13389" width="0" style="11" hidden="1" customWidth="1"/>
    <col min="13390" max="13568" width="14.109375" style="11"/>
    <col min="13569" max="13570" width="50.77734375" style="11" customWidth="1"/>
    <col min="13571" max="13577" width="12" style="11" customWidth="1"/>
    <col min="13578" max="13597" width="10.77734375" style="11" customWidth="1"/>
    <col min="13598" max="13599" width="11.44140625" style="11" customWidth="1"/>
    <col min="13600" max="13600" width="12.33203125" style="11" customWidth="1"/>
    <col min="13601" max="13601" width="11.44140625" style="11" customWidth="1"/>
    <col min="13602" max="13602" width="12" style="11" customWidth="1"/>
    <col min="13603" max="13603" width="15.77734375" style="11" customWidth="1"/>
    <col min="13604" max="13606" width="15" style="11" customWidth="1"/>
    <col min="13607" max="13607" width="8.5546875" style="11" customWidth="1"/>
    <col min="13608" max="13608" width="12.77734375" style="11" customWidth="1"/>
    <col min="13609" max="13629" width="0" style="11" hidden="1" customWidth="1"/>
    <col min="13630" max="13630" width="4.77734375" style="11" customWidth="1"/>
    <col min="13631" max="13637" width="12" style="11" customWidth="1"/>
    <col min="13638" max="13641" width="10.77734375" style="11" customWidth="1"/>
    <col min="13642" max="13645" width="0" style="11" hidden="1" customWidth="1"/>
    <col min="13646" max="13824" width="14.109375" style="11"/>
    <col min="13825" max="13826" width="50.77734375" style="11" customWidth="1"/>
    <col min="13827" max="13833" width="12" style="11" customWidth="1"/>
    <col min="13834" max="13853" width="10.77734375" style="11" customWidth="1"/>
    <col min="13854" max="13855" width="11.44140625" style="11" customWidth="1"/>
    <col min="13856" max="13856" width="12.33203125" style="11" customWidth="1"/>
    <col min="13857" max="13857" width="11.44140625" style="11" customWidth="1"/>
    <col min="13858" max="13858" width="12" style="11" customWidth="1"/>
    <col min="13859" max="13859" width="15.77734375" style="11" customWidth="1"/>
    <col min="13860" max="13862" width="15" style="11" customWidth="1"/>
    <col min="13863" max="13863" width="8.5546875" style="11" customWidth="1"/>
    <col min="13864" max="13864" width="12.77734375" style="11" customWidth="1"/>
    <col min="13865" max="13885" width="0" style="11" hidden="1" customWidth="1"/>
    <col min="13886" max="13886" width="4.77734375" style="11" customWidth="1"/>
    <col min="13887" max="13893" width="12" style="11" customWidth="1"/>
    <col min="13894" max="13897" width="10.77734375" style="11" customWidth="1"/>
    <col min="13898" max="13901" width="0" style="11" hidden="1" customWidth="1"/>
    <col min="13902" max="14080" width="14.109375" style="11"/>
    <col min="14081" max="14082" width="50.77734375" style="11" customWidth="1"/>
    <col min="14083" max="14089" width="12" style="11" customWidth="1"/>
    <col min="14090" max="14109" width="10.77734375" style="11" customWidth="1"/>
    <col min="14110" max="14111" width="11.44140625" style="11" customWidth="1"/>
    <col min="14112" max="14112" width="12.33203125" style="11" customWidth="1"/>
    <col min="14113" max="14113" width="11.44140625" style="11" customWidth="1"/>
    <col min="14114" max="14114" width="12" style="11" customWidth="1"/>
    <col min="14115" max="14115" width="15.77734375" style="11" customWidth="1"/>
    <col min="14116" max="14118" width="15" style="11" customWidth="1"/>
    <col min="14119" max="14119" width="8.5546875" style="11" customWidth="1"/>
    <col min="14120" max="14120" width="12.77734375" style="11" customWidth="1"/>
    <col min="14121" max="14141" width="0" style="11" hidden="1" customWidth="1"/>
    <col min="14142" max="14142" width="4.77734375" style="11" customWidth="1"/>
    <col min="14143" max="14149" width="12" style="11" customWidth="1"/>
    <col min="14150" max="14153" width="10.77734375" style="11" customWidth="1"/>
    <col min="14154" max="14157" width="0" style="11" hidden="1" customWidth="1"/>
    <col min="14158" max="14336" width="14.109375" style="11"/>
    <col min="14337" max="14338" width="50.77734375" style="11" customWidth="1"/>
    <col min="14339" max="14345" width="12" style="11" customWidth="1"/>
    <col min="14346" max="14365" width="10.77734375" style="11" customWidth="1"/>
    <col min="14366" max="14367" width="11.44140625" style="11" customWidth="1"/>
    <col min="14368" max="14368" width="12.33203125" style="11" customWidth="1"/>
    <col min="14369" max="14369" width="11.44140625" style="11" customWidth="1"/>
    <col min="14370" max="14370" width="12" style="11" customWidth="1"/>
    <col min="14371" max="14371" width="15.77734375" style="11" customWidth="1"/>
    <col min="14372" max="14374" width="15" style="11" customWidth="1"/>
    <col min="14375" max="14375" width="8.5546875" style="11" customWidth="1"/>
    <col min="14376" max="14376" width="12.77734375" style="11" customWidth="1"/>
    <col min="14377" max="14397" width="0" style="11" hidden="1" customWidth="1"/>
    <col min="14398" max="14398" width="4.77734375" style="11" customWidth="1"/>
    <col min="14399" max="14405" width="12" style="11" customWidth="1"/>
    <col min="14406" max="14409" width="10.77734375" style="11" customWidth="1"/>
    <col min="14410" max="14413" width="0" style="11" hidden="1" customWidth="1"/>
    <col min="14414" max="14592" width="14.109375" style="11"/>
    <col min="14593" max="14594" width="50.77734375" style="11" customWidth="1"/>
    <col min="14595" max="14601" width="12" style="11" customWidth="1"/>
    <col min="14602" max="14621" width="10.77734375" style="11" customWidth="1"/>
    <col min="14622" max="14623" width="11.44140625" style="11" customWidth="1"/>
    <col min="14624" max="14624" width="12.33203125" style="11" customWidth="1"/>
    <col min="14625" max="14625" width="11.44140625" style="11" customWidth="1"/>
    <col min="14626" max="14626" width="12" style="11" customWidth="1"/>
    <col min="14627" max="14627" width="15.77734375" style="11" customWidth="1"/>
    <col min="14628" max="14630" width="15" style="11" customWidth="1"/>
    <col min="14631" max="14631" width="8.5546875" style="11" customWidth="1"/>
    <col min="14632" max="14632" width="12.77734375" style="11" customWidth="1"/>
    <col min="14633" max="14653" width="0" style="11" hidden="1" customWidth="1"/>
    <col min="14654" max="14654" width="4.77734375" style="11" customWidth="1"/>
    <col min="14655" max="14661" width="12" style="11" customWidth="1"/>
    <col min="14662" max="14665" width="10.77734375" style="11" customWidth="1"/>
    <col min="14666" max="14669" width="0" style="11" hidden="1" customWidth="1"/>
    <col min="14670" max="14848" width="14.109375" style="11"/>
    <col min="14849" max="14850" width="50.77734375" style="11" customWidth="1"/>
    <col min="14851" max="14857" width="12" style="11" customWidth="1"/>
    <col min="14858" max="14877" width="10.77734375" style="11" customWidth="1"/>
    <col min="14878" max="14879" width="11.44140625" style="11" customWidth="1"/>
    <col min="14880" max="14880" width="12.33203125" style="11" customWidth="1"/>
    <col min="14881" max="14881" width="11.44140625" style="11" customWidth="1"/>
    <col min="14882" max="14882" width="12" style="11" customWidth="1"/>
    <col min="14883" max="14883" width="15.77734375" style="11" customWidth="1"/>
    <col min="14884" max="14886" width="15" style="11" customWidth="1"/>
    <col min="14887" max="14887" width="8.5546875" style="11" customWidth="1"/>
    <col min="14888" max="14888" width="12.77734375" style="11" customWidth="1"/>
    <col min="14889" max="14909" width="0" style="11" hidden="1" customWidth="1"/>
    <col min="14910" max="14910" width="4.77734375" style="11" customWidth="1"/>
    <col min="14911" max="14917" width="12" style="11" customWidth="1"/>
    <col min="14918" max="14921" width="10.77734375" style="11" customWidth="1"/>
    <col min="14922" max="14925" width="0" style="11" hidden="1" customWidth="1"/>
    <col min="14926" max="15104" width="14.109375" style="11"/>
    <col min="15105" max="15106" width="50.77734375" style="11" customWidth="1"/>
    <col min="15107" max="15113" width="12" style="11" customWidth="1"/>
    <col min="15114" max="15133" width="10.77734375" style="11" customWidth="1"/>
    <col min="15134" max="15135" width="11.44140625" style="11" customWidth="1"/>
    <col min="15136" max="15136" width="12.33203125" style="11" customWidth="1"/>
    <col min="15137" max="15137" width="11.44140625" style="11" customWidth="1"/>
    <col min="15138" max="15138" width="12" style="11" customWidth="1"/>
    <col min="15139" max="15139" width="15.77734375" style="11" customWidth="1"/>
    <col min="15140" max="15142" width="15" style="11" customWidth="1"/>
    <col min="15143" max="15143" width="8.5546875" style="11" customWidth="1"/>
    <col min="15144" max="15144" width="12.77734375" style="11" customWidth="1"/>
    <col min="15145" max="15165" width="0" style="11" hidden="1" customWidth="1"/>
    <col min="15166" max="15166" width="4.77734375" style="11" customWidth="1"/>
    <col min="15167" max="15173" width="12" style="11" customWidth="1"/>
    <col min="15174" max="15177" width="10.77734375" style="11" customWidth="1"/>
    <col min="15178" max="15181" width="0" style="11" hidden="1" customWidth="1"/>
    <col min="15182" max="15360" width="14.109375" style="11"/>
    <col min="15361" max="15362" width="50.77734375" style="11" customWidth="1"/>
    <col min="15363" max="15369" width="12" style="11" customWidth="1"/>
    <col min="15370" max="15389" width="10.77734375" style="11" customWidth="1"/>
    <col min="15390" max="15391" width="11.44140625" style="11" customWidth="1"/>
    <col min="15392" max="15392" width="12.33203125" style="11" customWidth="1"/>
    <col min="15393" max="15393" width="11.44140625" style="11" customWidth="1"/>
    <col min="15394" max="15394" width="12" style="11" customWidth="1"/>
    <col min="15395" max="15395" width="15.77734375" style="11" customWidth="1"/>
    <col min="15396" max="15398" width="15" style="11" customWidth="1"/>
    <col min="15399" max="15399" width="8.5546875" style="11" customWidth="1"/>
    <col min="15400" max="15400" width="12.77734375" style="11" customWidth="1"/>
    <col min="15401" max="15421" width="0" style="11" hidden="1" customWidth="1"/>
    <col min="15422" max="15422" width="4.77734375" style="11" customWidth="1"/>
    <col min="15423" max="15429" width="12" style="11" customWidth="1"/>
    <col min="15430" max="15433" width="10.77734375" style="11" customWidth="1"/>
    <col min="15434" max="15437" width="0" style="11" hidden="1" customWidth="1"/>
    <col min="15438" max="15616" width="14.109375" style="11"/>
    <col min="15617" max="15618" width="50.77734375" style="11" customWidth="1"/>
    <col min="15619" max="15625" width="12" style="11" customWidth="1"/>
    <col min="15626" max="15645" width="10.77734375" style="11" customWidth="1"/>
    <col min="15646" max="15647" width="11.44140625" style="11" customWidth="1"/>
    <col min="15648" max="15648" width="12.33203125" style="11" customWidth="1"/>
    <col min="15649" max="15649" width="11.44140625" style="11" customWidth="1"/>
    <col min="15650" max="15650" width="12" style="11" customWidth="1"/>
    <col min="15651" max="15651" width="15.77734375" style="11" customWidth="1"/>
    <col min="15652" max="15654" width="15" style="11" customWidth="1"/>
    <col min="15655" max="15655" width="8.5546875" style="11" customWidth="1"/>
    <col min="15656" max="15656" width="12.77734375" style="11" customWidth="1"/>
    <col min="15657" max="15677" width="0" style="11" hidden="1" customWidth="1"/>
    <col min="15678" max="15678" width="4.77734375" style="11" customWidth="1"/>
    <col min="15679" max="15685" width="12" style="11" customWidth="1"/>
    <col min="15686" max="15689" width="10.77734375" style="11" customWidth="1"/>
    <col min="15690" max="15693" width="0" style="11" hidden="1" customWidth="1"/>
    <col min="15694" max="15872" width="14.109375" style="11"/>
    <col min="15873" max="15874" width="50.77734375" style="11" customWidth="1"/>
    <col min="15875" max="15881" width="12" style="11" customWidth="1"/>
    <col min="15882" max="15901" width="10.77734375" style="11" customWidth="1"/>
    <col min="15902" max="15903" width="11.44140625" style="11" customWidth="1"/>
    <col min="15904" max="15904" width="12.33203125" style="11" customWidth="1"/>
    <col min="15905" max="15905" width="11.44140625" style="11" customWidth="1"/>
    <col min="15906" max="15906" width="12" style="11" customWidth="1"/>
    <col min="15907" max="15907" width="15.77734375" style="11" customWidth="1"/>
    <col min="15908" max="15910" width="15" style="11" customWidth="1"/>
    <col min="15911" max="15911" width="8.5546875" style="11" customWidth="1"/>
    <col min="15912" max="15912" width="12.77734375" style="11" customWidth="1"/>
    <col min="15913" max="15933" width="0" style="11" hidden="1" customWidth="1"/>
    <col min="15934" max="15934" width="4.77734375" style="11" customWidth="1"/>
    <col min="15935" max="15941" width="12" style="11" customWidth="1"/>
    <col min="15942" max="15945" width="10.77734375" style="11" customWidth="1"/>
    <col min="15946" max="15949" width="0" style="11" hidden="1" customWidth="1"/>
    <col min="15950" max="16128" width="14.109375" style="11"/>
    <col min="16129" max="16130" width="50.77734375" style="11" customWidth="1"/>
    <col min="16131" max="16137" width="12" style="11" customWidth="1"/>
    <col min="16138" max="16157" width="10.77734375" style="11" customWidth="1"/>
    <col min="16158" max="16159" width="11.44140625" style="11" customWidth="1"/>
    <col min="16160" max="16160" width="12.33203125" style="11" customWidth="1"/>
    <col min="16161" max="16161" width="11.44140625" style="11" customWidth="1"/>
    <col min="16162" max="16162" width="12" style="11" customWidth="1"/>
    <col min="16163" max="16163" width="15.77734375" style="11" customWidth="1"/>
    <col min="16164" max="16166" width="15" style="11" customWidth="1"/>
    <col min="16167" max="16167" width="8.5546875" style="11" customWidth="1"/>
    <col min="16168" max="16168" width="12.77734375" style="11" customWidth="1"/>
    <col min="16169" max="16189" width="0" style="11" hidden="1" customWidth="1"/>
    <col min="16190" max="16190" width="4.77734375" style="11" customWidth="1"/>
    <col min="16191" max="16197" width="12" style="11" customWidth="1"/>
    <col min="16198" max="16201" width="10.77734375" style="11" customWidth="1"/>
    <col min="16202" max="16205" width="0" style="11" hidden="1" customWidth="1"/>
    <col min="16206" max="16384" width="14.109375" style="11"/>
  </cols>
  <sheetData>
    <row r="2" spans="1:77" ht="15.6">
      <c r="A2" s="18"/>
      <c r="AM2" s="10"/>
    </row>
    <row r="3" spans="1:77" ht="22.8" customHeight="1">
      <c r="A3" s="12" t="s">
        <v>120</v>
      </c>
      <c r="B3" s="14"/>
      <c r="C3" s="14"/>
      <c r="AI3" s="11"/>
      <c r="AJ3" s="11"/>
      <c r="AK3" s="6"/>
      <c r="AL3" s="6"/>
      <c r="AP3" s="14"/>
      <c r="BW3" s="11"/>
      <c r="BX3" s="11"/>
      <c r="BY3" s="11"/>
    </row>
    <row r="4" spans="1:77" ht="16.8">
      <c r="A4" s="12" t="s">
        <v>121</v>
      </c>
      <c r="B4" s="14"/>
      <c r="C4" s="14"/>
      <c r="AI4" s="11"/>
      <c r="AJ4" s="11"/>
      <c r="AK4" s="6"/>
      <c r="AL4" s="6"/>
      <c r="AP4" s="14"/>
      <c r="BW4" s="11"/>
      <c r="BX4" s="11"/>
      <c r="BY4" s="11"/>
    </row>
    <row r="6" spans="1:77">
      <c r="A6" s="15" t="s">
        <v>122</v>
      </c>
      <c r="B6" s="15"/>
      <c r="C6" s="15"/>
      <c r="D6" s="15"/>
    </row>
    <row r="7" spans="1:77" ht="15.6">
      <c r="A7" s="15"/>
      <c r="B7" s="15"/>
      <c r="C7" s="15"/>
      <c r="D7" s="15"/>
      <c r="AK7" s="6"/>
      <c r="AL7" s="6"/>
      <c r="AO7" s="17"/>
      <c r="AP7" s="18"/>
      <c r="AQ7" s="18"/>
      <c r="AR7" s="18"/>
      <c r="AS7" s="18"/>
      <c r="BV7" s="11"/>
      <c r="BW7" s="11"/>
      <c r="BX7" s="11"/>
      <c r="BY7" s="11"/>
    </row>
    <row r="9" spans="1:77" s="23" customFormat="1" ht="17.399999999999999">
      <c r="A9" s="19" t="s">
        <v>229</v>
      </c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2"/>
      <c r="Y9" s="22"/>
      <c r="Z9" s="22"/>
      <c r="AA9" s="22"/>
      <c r="AB9" s="22"/>
      <c r="AC9" s="22"/>
      <c r="AD9" s="22"/>
      <c r="AE9" s="22"/>
      <c r="AF9" s="22"/>
      <c r="AG9" s="22"/>
      <c r="AI9" s="21"/>
      <c r="AJ9" s="21"/>
      <c r="AM9" s="21"/>
      <c r="AN9" s="21"/>
      <c r="AO9" s="19"/>
      <c r="AP9" s="19"/>
      <c r="AQ9" s="19"/>
      <c r="AR9" s="19"/>
      <c r="AS9" s="19"/>
      <c r="AT9" s="19"/>
      <c r="AU9" s="19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</row>
    <row r="10" spans="1:77" ht="15.6" thickBot="1"/>
    <row r="11" spans="1:77" ht="16.2" thickTop="1">
      <c r="A11" s="132"/>
      <c r="B11" s="162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135"/>
      <c r="AJ11" s="31"/>
      <c r="AK11" s="31"/>
      <c r="AL11" s="31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4"/>
      <c r="BH11" s="124"/>
      <c r="BI11" s="124"/>
      <c r="BW11" s="163"/>
      <c r="BX11" s="163"/>
      <c r="BY11" s="164"/>
    </row>
    <row r="12" spans="1:77" ht="16.8">
      <c r="A12" s="68"/>
      <c r="C12" s="34" t="s">
        <v>48</v>
      </c>
      <c r="D12" s="35" t="s">
        <v>82</v>
      </c>
      <c r="E12" s="35" t="s">
        <v>83</v>
      </c>
      <c r="F12" s="35" t="s">
        <v>85</v>
      </c>
      <c r="G12" s="35" t="s">
        <v>86</v>
      </c>
      <c r="H12" s="35" t="s">
        <v>87</v>
      </c>
      <c r="I12" s="35" t="s">
        <v>88</v>
      </c>
      <c r="J12" s="35" t="s">
        <v>89</v>
      </c>
      <c r="K12" s="36" t="s">
        <v>124</v>
      </c>
      <c r="L12" s="35" t="s">
        <v>125</v>
      </c>
      <c r="M12" s="35" t="s">
        <v>126</v>
      </c>
      <c r="N12" s="35" t="s">
        <v>127</v>
      </c>
      <c r="O12" s="35" t="s">
        <v>128</v>
      </c>
      <c r="P12" s="37" t="s">
        <v>129</v>
      </c>
      <c r="Q12" s="36" t="s">
        <v>130</v>
      </c>
      <c r="R12" s="38" t="s">
        <v>131</v>
      </c>
      <c r="S12" s="38" t="s">
        <v>132</v>
      </c>
      <c r="T12" s="38" t="s">
        <v>133</v>
      </c>
      <c r="U12" s="38" t="s">
        <v>94</v>
      </c>
      <c r="V12" s="38" t="s">
        <v>98</v>
      </c>
      <c r="W12" s="38" t="s">
        <v>99</v>
      </c>
      <c r="X12" s="38" t="s">
        <v>100</v>
      </c>
      <c r="Y12" s="38" t="s">
        <v>101</v>
      </c>
      <c r="Z12" s="38" t="s">
        <v>102</v>
      </c>
      <c r="AA12" s="38" t="s">
        <v>104</v>
      </c>
      <c r="AB12" s="38" t="s">
        <v>105</v>
      </c>
      <c r="AC12" s="38" t="s">
        <v>106</v>
      </c>
      <c r="AD12" s="38" t="s">
        <v>107</v>
      </c>
      <c r="AE12" s="38" t="s">
        <v>108</v>
      </c>
      <c r="AF12" s="38" t="s">
        <v>112</v>
      </c>
      <c r="AG12" s="38" t="s">
        <v>113</v>
      </c>
      <c r="AH12" s="38" t="s">
        <v>114</v>
      </c>
      <c r="AI12" s="137" t="s">
        <v>115</v>
      </c>
      <c r="AJ12" s="42" t="s">
        <v>118</v>
      </c>
      <c r="AK12" s="42" t="s">
        <v>119</v>
      </c>
      <c r="AL12" s="42" t="s">
        <v>134</v>
      </c>
      <c r="AP12" s="9"/>
      <c r="AQ12" s="9"/>
      <c r="AR12" s="9"/>
      <c r="AS12" s="9"/>
      <c r="AT12" s="9"/>
      <c r="AU12" s="9"/>
      <c r="AV12" s="9"/>
      <c r="AW12" s="10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115"/>
      <c r="BV12" s="10"/>
      <c r="BW12" s="165"/>
      <c r="BY12" s="166"/>
    </row>
    <row r="13" spans="1:77" ht="15.6">
      <c r="A13" s="68"/>
      <c r="C13" s="43"/>
      <c r="D13" s="44"/>
      <c r="E13" s="44"/>
      <c r="F13" s="44"/>
      <c r="G13" s="44"/>
      <c r="H13" s="44"/>
      <c r="I13" s="44"/>
      <c r="J13" s="44"/>
      <c r="K13" s="44"/>
      <c r="L13" s="35"/>
      <c r="M13" s="138"/>
      <c r="N13" s="44"/>
      <c r="O13" s="44"/>
      <c r="P13" s="35"/>
      <c r="Q13" s="35"/>
      <c r="R13" s="44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140"/>
      <c r="AJ13" s="46"/>
      <c r="AK13" s="46" t="s">
        <v>136</v>
      </c>
      <c r="AL13" s="46" t="s">
        <v>137</v>
      </c>
      <c r="AW13" s="10"/>
      <c r="BS13" s="9"/>
      <c r="BT13" s="9"/>
      <c r="BU13" s="9"/>
      <c r="BW13" s="167"/>
      <c r="BY13" s="166"/>
    </row>
    <row r="14" spans="1:77" ht="16.2" thickBot="1">
      <c r="A14" s="101"/>
      <c r="B14" s="168"/>
      <c r="C14" s="49" t="s">
        <v>138</v>
      </c>
      <c r="D14" s="50" t="s">
        <v>139</v>
      </c>
      <c r="E14" s="50" t="s">
        <v>140</v>
      </c>
      <c r="F14" s="50" t="s">
        <v>141</v>
      </c>
      <c r="G14" s="50" t="s">
        <v>142</v>
      </c>
      <c r="H14" s="50" t="s">
        <v>143</v>
      </c>
      <c r="I14" s="50" t="s">
        <v>144</v>
      </c>
      <c r="J14" s="50" t="s">
        <v>145</v>
      </c>
      <c r="K14" s="50" t="s">
        <v>146</v>
      </c>
      <c r="L14" s="50" t="s">
        <v>147</v>
      </c>
      <c r="M14" s="51" t="s">
        <v>148</v>
      </c>
      <c r="N14" s="51" t="s">
        <v>149</v>
      </c>
      <c r="O14" s="51" t="s">
        <v>150</v>
      </c>
      <c r="P14" s="51" t="s">
        <v>151</v>
      </c>
      <c r="Q14" s="51" t="s">
        <v>152</v>
      </c>
      <c r="R14" s="51" t="s">
        <v>153</v>
      </c>
      <c r="S14" s="51" t="s">
        <v>154</v>
      </c>
      <c r="T14" s="51" t="s">
        <v>155</v>
      </c>
      <c r="U14" s="51" t="s">
        <v>156</v>
      </c>
      <c r="V14" s="51" t="s">
        <v>157</v>
      </c>
      <c r="W14" s="51" t="s">
        <v>158</v>
      </c>
      <c r="X14" s="51" t="s">
        <v>159</v>
      </c>
      <c r="Y14" s="51" t="s">
        <v>160</v>
      </c>
      <c r="Z14" s="51" t="s">
        <v>161</v>
      </c>
      <c r="AA14" s="51" t="s">
        <v>162</v>
      </c>
      <c r="AB14" s="51" t="s">
        <v>163</v>
      </c>
      <c r="AC14" s="51" t="s">
        <v>164</v>
      </c>
      <c r="AD14" s="51" t="s">
        <v>165</v>
      </c>
      <c r="AE14" s="51" t="s">
        <v>166</v>
      </c>
      <c r="AF14" s="51" t="s">
        <v>167</v>
      </c>
      <c r="AG14" s="51" t="s">
        <v>168</v>
      </c>
      <c r="AH14" s="51" t="s">
        <v>169</v>
      </c>
      <c r="AI14" s="143" t="s">
        <v>170</v>
      </c>
      <c r="AJ14" s="144" t="s">
        <v>171</v>
      </c>
      <c r="AK14" s="144" t="s">
        <v>172</v>
      </c>
      <c r="AL14" s="144" t="s">
        <v>173</v>
      </c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169"/>
      <c r="BW14" s="163"/>
      <c r="BX14" s="118"/>
      <c r="BY14" s="170"/>
    </row>
    <row r="15" spans="1:77" ht="15.6">
      <c r="A15" s="68"/>
      <c r="C15" s="132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2"/>
      <c r="Y15" s="172"/>
      <c r="AH15" s="9"/>
      <c r="AI15" s="69"/>
      <c r="AJ15" s="70"/>
      <c r="AK15" s="70"/>
      <c r="AL15" s="70"/>
      <c r="BW15" s="167"/>
      <c r="BY15" s="173"/>
    </row>
    <row r="16" spans="1:77">
      <c r="A16" s="68" t="s">
        <v>183</v>
      </c>
      <c r="B16" s="7" t="s">
        <v>95</v>
      </c>
      <c r="C16" s="68"/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4">
        <v>6</v>
      </c>
      <c r="AJ16" s="72">
        <v>3</v>
      </c>
      <c r="AK16" s="72">
        <v>3</v>
      </c>
      <c r="AL16" s="73">
        <v>3</v>
      </c>
    </row>
    <row r="17" spans="1:77" ht="15.6">
      <c r="A17" s="68" t="s">
        <v>184</v>
      </c>
      <c r="B17" s="7" t="s">
        <v>49</v>
      </c>
      <c r="C17" s="68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0.5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0.5</v>
      </c>
      <c r="AH17" s="6">
        <v>0</v>
      </c>
      <c r="AI17" s="64">
        <v>0</v>
      </c>
      <c r="AJ17" s="72">
        <v>1</v>
      </c>
      <c r="AK17" s="73">
        <v>0</v>
      </c>
      <c r="AL17" s="73">
        <v>0</v>
      </c>
      <c r="BW17" s="167"/>
      <c r="BX17" s="174"/>
      <c r="BY17" s="175"/>
    </row>
    <row r="18" spans="1:77" ht="15.6">
      <c r="A18" s="68" t="s">
        <v>185</v>
      </c>
      <c r="B18" s="7" t="s">
        <v>75</v>
      </c>
      <c r="C18" s="68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0.5</v>
      </c>
      <c r="AI18" s="69">
        <v>0</v>
      </c>
      <c r="AJ18" s="93">
        <v>1.5</v>
      </c>
      <c r="AK18" s="145">
        <v>0</v>
      </c>
      <c r="AL18" s="145">
        <v>0</v>
      </c>
      <c r="BW18" s="167"/>
      <c r="BX18" s="174"/>
      <c r="BY18" s="175"/>
    </row>
    <row r="19" spans="1:77" ht="15.6">
      <c r="A19" s="68" t="s">
        <v>186</v>
      </c>
      <c r="B19" s="7" t="s">
        <v>50</v>
      </c>
      <c r="C19" s="68">
        <v>4</v>
      </c>
      <c r="D19" s="6">
        <v>5</v>
      </c>
      <c r="E19" s="6">
        <v>5.5</v>
      </c>
      <c r="F19" s="6">
        <v>4</v>
      </c>
      <c r="G19" s="6">
        <v>4.5</v>
      </c>
      <c r="H19" s="6">
        <v>4.5</v>
      </c>
      <c r="I19" s="6">
        <v>6</v>
      </c>
      <c r="J19" s="6">
        <v>7.5</v>
      </c>
      <c r="K19" s="6">
        <v>6</v>
      </c>
      <c r="L19" s="6">
        <v>6</v>
      </c>
      <c r="M19" s="6">
        <v>4</v>
      </c>
      <c r="N19" s="6">
        <v>5</v>
      </c>
      <c r="O19" s="6">
        <v>5.5</v>
      </c>
      <c r="P19" s="6">
        <v>5.5</v>
      </c>
      <c r="Q19" s="6">
        <v>12.5</v>
      </c>
      <c r="R19" s="6">
        <v>16</v>
      </c>
      <c r="S19" s="6">
        <v>15</v>
      </c>
      <c r="T19" s="6">
        <v>18.5</v>
      </c>
      <c r="U19" s="6">
        <v>14</v>
      </c>
      <c r="V19" s="6">
        <v>19</v>
      </c>
      <c r="W19" s="6">
        <v>12</v>
      </c>
      <c r="X19" s="6">
        <v>23.5</v>
      </c>
      <c r="Y19" s="6">
        <v>12</v>
      </c>
      <c r="Z19" s="6">
        <v>21.5</v>
      </c>
      <c r="AA19" s="6">
        <v>12</v>
      </c>
      <c r="AB19" s="6">
        <v>31</v>
      </c>
      <c r="AC19" s="6">
        <v>16.5</v>
      </c>
      <c r="AD19" s="6">
        <v>37.5</v>
      </c>
      <c r="AE19" s="6">
        <v>21.5</v>
      </c>
      <c r="AF19" s="6">
        <v>23</v>
      </c>
      <c r="AG19" s="6">
        <v>23</v>
      </c>
      <c r="AH19" s="6">
        <v>27</v>
      </c>
      <c r="AI19" s="64">
        <v>26.5</v>
      </c>
      <c r="AJ19" s="72">
        <v>37</v>
      </c>
      <c r="AK19" s="72">
        <v>26</v>
      </c>
      <c r="AL19" s="72">
        <v>18</v>
      </c>
      <c r="BW19" s="167"/>
      <c r="BX19" s="174"/>
      <c r="BY19" s="175"/>
    </row>
    <row r="20" spans="1:77" ht="15.6">
      <c r="A20" s="68" t="s">
        <v>187</v>
      </c>
      <c r="B20" s="71" t="s">
        <v>116</v>
      </c>
      <c r="C20" s="68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4">
        <v>0</v>
      </c>
      <c r="AJ20" s="72">
        <v>0.5</v>
      </c>
      <c r="AK20" s="73">
        <v>0</v>
      </c>
      <c r="AL20" s="73">
        <v>0</v>
      </c>
      <c r="BW20" s="167"/>
      <c r="BX20" s="174"/>
      <c r="BY20" s="175"/>
    </row>
    <row r="21" spans="1:77" ht="15.6">
      <c r="A21" s="68" t="s">
        <v>188</v>
      </c>
      <c r="B21" s="71" t="s">
        <v>117</v>
      </c>
      <c r="C21" s="68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4">
        <v>0</v>
      </c>
      <c r="AJ21" s="73">
        <v>0</v>
      </c>
      <c r="AK21" s="73">
        <v>0</v>
      </c>
      <c r="AL21" s="73">
        <v>0</v>
      </c>
      <c r="BW21" s="167"/>
      <c r="BX21" s="174"/>
      <c r="BY21" s="175"/>
    </row>
    <row r="22" spans="1:77" ht="15.6">
      <c r="A22" s="68" t="s">
        <v>174</v>
      </c>
      <c r="B22" s="7" t="s">
        <v>55</v>
      </c>
      <c r="C22" s="68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1</v>
      </c>
      <c r="O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4"/>
      <c r="AJ22" s="65"/>
      <c r="AK22" s="65"/>
      <c r="AL22" s="65"/>
      <c r="BW22" s="167"/>
      <c r="BY22" s="173"/>
    </row>
    <row r="23" spans="1:77" ht="15.6">
      <c r="A23" s="68" t="s">
        <v>175</v>
      </c>
      <c r="B23" s="7" t="s">
        <v>90</v>
      </c>
      <c r="C23" s="68"/>
      <c r="J23" s="6">
        <v>0</v>
      </c>
      <c r="K23" s="6">
        <v>0</v>
      </c>
      <c r="L23" s="6">
        <v>1</v>
      </c>
      <c r="M23" s="6">
        <v>2.5</v>
      </c>
      <c r="N23" s="6">
        <v>2</v>
      </c>
      <c r="O23" s="6">
        <v>0.5</v>
      </c>
      <c r="P23" s="6">
        <v>0</v>
      </c>
      <c r="Q23" s="6">
        <v>0.5</v>
      </c>
      <c r="R23" s="6">
        <v>0.5</v>
      </c>
      <c r="S23" s="6">
        <v>0.5</v>
      </c>
      <c r="T23" s="6">
        <v>0.5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/>
      <c r="AA23" s="6"/>
      <c r="AB23" s="6"/>
      <c r="AC23" s="6"/>
      <c r="AD23" s="6"/>
      <c r="AE23" s="6"/>
      <c r="AF23" s="6"/>
      <c r="AG23" s="6"/>
      <c r="AH23" s="6"/>
      <c r="AI23" s="64"/>
      <c r="AJ23" s="65"/>
      <c r="AK23" s="65"/>
      <c r="AL23" s="65"/>
      <c r="BW23" s="167"/>
      <c r="BX23" s="174"/>
      <c r="BY23" s="175"/>
    </row>
    <row r="24" spans="1:77" ht="15.6">
      <c r="A24" s="68" t="s">
        <v>189</v>
      </c>
      <c r="B24" s="7" t="s">
        <v>56</v>
      </c>
      <c r="C24" s="68">
        <v>0</v>
      </c>
      <c r="D24" s="6">
        <v>0</v>
      </c>
      <c r="E24" s="6">
        <v>0</v>
      </c>
      <c r="F24" s="6">
        <v>0</v>
      </c>
      <c r="G24" s="6">
        <v>0</v>
      </c>
      <c r="H24" s="6">
        <v>0.5</v>
      </c>
      <c r="I24" s="6">
        <v>0</v>
      </c>
      <c r="J24" s="6">
        <v>0</v>
      </c>
      <c r="K24" s="6">
        <v>0</v>
      </c>
      <c r="L24" s="6">
        <v>1.5</v>
      </c>
      <c r="M24" s="6">
        <v>0.5</v>
      </c>
      <c r="N24" s="6">
        <v>0.5</v>
      </c>
      <c r="O24" s="6">
        <v>2</v>
      </c>
      <c r="P24" s="6">
        <v>0</v>
      </c>
      <c r="Q24" s="6">
        <v>0</v>
      </c>
      <c r="R24" s="6">
        <v>0.5</v>
      </c>
      <c r="S24" s="6">
        <v>2</v>
      </c>
      <c r="T24" s="6">
        <v>1</v>
      </c>
      <c r="U24" s="6">
        <v>3.5</v>
      </c>
      <c r="V24" s="6">
        <v>0</v>
      </c>
      <c r="W24" s="6">
        <v>0</v>
      </c>
      <c r="X24" s="6">
        <v>3</v>
      </c>
      <c r="Y24" s="6">
        <v>4</v>
      </c>
      <c r="Z24" s="6">
        <v>2</v>
      </c>
      <c r="AA24" s="6">
        <v>4</v>
      </c>
      <c r="AB24" s="6">
        <v>1</v>
      </c>
      <c r="AC24" s="6">
        <v>6.5</v>
      </c>
      <c r="AD24" s="6">
        <v>2.5</v>
      </c>
      <c r="AE24" s="6">
        <v>0.5</v>
      </c>
      <c r="AF24" s="6">
        <v>1</v>
      </c>
      <c r="AG24" s="6">
        <v>1</v>
      </c>
      <c r="AH24" s="6">
        <v>0</v>
      </c>
      <c r="AI24" s="64">
        <v>0.5</v>
      </c>
      <c r="AJ24" s="72">
        <v>0</v>
      </c>
      <c r="AK24" s="72">
        <v>0</v>
      </c>
      <c r="AL24" s="72">
        <v>1</v>
      </c>
      <c r="BW24" s="167"/>
      <c r="BX24" s="174"/>
      <c r="BY24" s="175"/>
    </row>
    <row r="25" spans="1:77" ht="15.6">
      <c r="A25" s="68" t="s">
        <v>190</v>
      </c>
      <c r="B25" s="71" t="s">
        <v>109</v>
      </c>
      <c r="C25" s="68"/>
      <c r="X25" s="6"/>
      <c r="Y25" s="6"/>
      <c r="Z25" s="6"/>
      <c r="AA25" s="6"/>
      <c r="AB25" s="6"/>
      <c r="AC25" s="6"/>
      <c r="AD25" s="6"/>
      <c r="AE25" s="6">
        <v>0</v>
      </c>
      <c r="AF25" s="6">
        <v>0</v>
      </c>
      <c r="AG25" s="6">
        <v>0</v>
      </c>
      <c r="AH25" s="6">
        <v>0</v>
      </c>
      <c r="AI25" s="64">
        <v>0</v>
      </c>
      <c r="AJ25" s="73">
        <v>0</v>
      </c>
      <c r="AK25" s="73">
        <v>0</v>
      </c>
      <c r="AL25" s="73">
        <v>0</v>
      </c>
      <c r="BW25" s="167"/>
      <c r="BX25" s="174"/>
      <c r="BY25" s="175"/>
    </row>
    <row r="26" spans="1:77" ht="15.6">
      <c r="A26" s="68" t="s">
        <v>60</v>
      </c>
      <c r="B26" s="7" t="s">
        <v>60</v>
      </c>
      <c r="C26" s="68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4">
        <v>0</v>
      </c>
      <c r="AJ26" s="72">
        <v>0</v>
      </c>
      <c r="AK26" s="72">
        <v>0.5</v>
      </c>
      <c r="AL26" s="72">
        <v>0.5</v>
      </c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W26" s="176"/>
      <c r="BX26" s="174"/>
      <c r="BY26" s="175"/>
    </row>
    <row r="27" spans="1:77" ht="15.6">
      <c r="A27" s="68" t="s">
        <v>191</v>
      </c>
      <c r="B27" s="7" t="s">
        <v>61</v>
      </c>
      <c r="C27" s="68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4">
        <v>0</v>
      </c>
      <c r="AJ27" s="72">
        <v>0</v>
      </c>
      <c r="AK27" s="73">
        <v>0</v>
      </c>
      <c r="AL27" s="73">
        <v>0</v>
      </c>
      <c r="BW27" s="167"/>
      <c r="BX27" s="174"/>
      <c r="BY27" s="175"/>
    </row>
    <row r="28" spans="1:77" ht="15.6">
      <c r="A28" s="68" t="s">
        <v>192</v>
      </c>
      <c r="B28" s="7" t="s">
        <v>62</v>
      </c>
      <c r="C28" s="68">
        <v>0</v>
      </c>
      <c r="D28" s="6">
        <v>0</v>
      </c>
      <c r="E28" s="6">
        <v>0.5</v>
      </c>
      <c r="F28" s="6">
        <v>0</v>
      </c>
      <c r="G28" s="6">
        <v>0</v>
      </c>
      <c r="H28" s="6">
        <v>0.5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0.5</v>
      </c>
      <c r="T28" s="6">
        <v>0</v>
      </c>
      <c r="U28" s="6">
        <v>0</v>
      </c>
      <c r="V28" s="6">
        <v>0</v>
      </c>
      <c r="W28" s="6">
        <v>0</v>
      </c>
      <c r="X28" s="6">
        <v>0.5</v>
      </c>
      <c r="Y28" s="6">
        <v>0.5</v>
      </c>
      <c r="Z28" s="6">
        <v>0.5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4">
        <v>0</v>
      </c>
      <c r="AJ28" s="72">
        <v>0</v>
      </c>
      <c r="AK28" s="72">
        <v>0</v>
      </c>
      <c r="AL28" s="73">
        <v>0</v>
      </c>
      <c r="BW28" s="167"/>
      <c r="BX28" s="174"/>
      <c r="BY28" s="175"/>
    </row>
    <row r="29" spans="1:77" ht="15.6">
      <c r="A29" s="68" t="s">
        <v>193</v>
      </c>
      <c r="B29" s="7" t="s">
        <v>65</v>
      </c>
      <c r="C29" s="68">
        <v>0.5</v>
      </c>
      <c r="D29" s="6">
        <v>1</v>
      </c>
      <c r="E29" s="6">
        <v>1</v>
      </c>
      <c r="F29" s="6">
        <v>1</v>
      </c>
      <c r="G29" s="6">
        <v>0.5</v>
      </c>
      <c r="H29" s="6">
        <v>0.5</v>
      </c>
      <c r="I29" s="6">
        <v>0.5</v>
      </c>
      <c r="J29" s="6">
        <v>0</v>
      </c>
      <c r="K29" s="6">
        <v>1</v>
      </c>
      <c r="L29" s="6">
        <v>0.5</v>
      </c>
      <c r="M29" s="6">
        <v>0.5</v>
      </c>
      <c r="N29" s="6">
        <v>0.5</v>
      </c>
      <c r="O29" s="6">
        <v>1.5</v>
      </c>
      <c r="P29" s="6">
        <v>4</v>
      </c>
      <c r="Q29" s="6">
        <v>5</v>
      </c>
      <c r="R29" s="6">
        <v>3</v>
      </c>
      <c r="S29" s="6">
        <v>2</v>
      </c>
      <c r="T29" s="6">
        <v>2</v>
      </c>
      <c r="U29" s="6">
        <v>1.5</v>
      </c>
      <c r="V29" s="6">
        <v>2</v>
      </c>
      <c r="W29" s="6">
        <v>1</v>
      </c>
      <c r="X29" s="6">
        <v>1</v>
      </c>
      <c r="Y29" s="6">
        <v>1.5</v>
      </c>
      <c r="Z29" s="6">
        <v>9</v>
      </c>
      <c r="AA29" s="6">
        <v>0.5</v>
      </c>
      <c r="AB29" s="6">
        <v>0.5</v>
      </c>
      <c r="AC29" s="6">
        <v>0.5</v>
      </c>
      <c r="AD29" s="6">
        <v>0</v>
      </c>
      <c r="AE29" s="6">
        <v>0.5</v>
      </c>
      <c r="AF29" s="6">
        <v>0.5</v>
      </c>
      <c r="AG29" s="6">
        <v>3.5</v>
      </c>
      <c r="AH29" s="6">
        <v>4.5</v>
      </c>
      <c r="AI29" s="64">
        <v>3.5</v>
      </c>
      <c r="AJ29" s="72">
        <v>4</v>
      </c>
      <c r="AK29" s="72">
        <v>4.5</v>
      </c>
      <c r="AL29" s="72">
        <v>3</v>
      </c>
      <c r="BW29" s="167"/>
      <c r="BX29" s="174"/>
      <c r="BY29" s="175"/>
    </row>
    <row r="30" spans="1:77" ht="15.6">
      <c r="A30" s="68" t="s">
        <v>194</v>
      </c>
      <c r="B30" s="7" t="s">
        <v>66</v>
      </c>
      <c r="C30" s="68">
        <v>0</v>
      </c>
      <c r="D30" s="6">
        <v>0</v>
      </c>
      <c r="E30" s="6">
        <v>0.5</v>
      </c>
      <c r="F30" s="6">
        <v>0</v>
      </c>
      <c r="G30" s="6">
        <v>0.5</v>
      </c>
      <c r="H30" s="6">
        <v>2</v>
      </c>
      <c r="I30" s="6">
        <v>1.5</v>
      </c>
      <c r="J30" s="6">
        <v>0.5</v>
      </c>
      <c r="K30" s="6">
        <v>1.5</v>
      </c>
      <c r="L30" s="6">
        <v>0</v>
      </c>
      <c r="M30" s="6">
        <v>0</v>
      </c>
      <c r="N30" s="6">
        <v>0</v>
      </c>
      <c r="O30" s="6">
        <v>1.5</v>
      </c>
      <c r="P30" s="6">
        <v>1.5</v>
      </c>
      <c r="Q30" s="6">
        <v>1.5</v>
      </c>
      <c r="R30" s="6">
        <v>1</v>
      </c>
      <c r="S30" s="6">
        <v>3</v>
      </c>
      <c r="T30" s="6">
        <v>2.5</v>
      </c>
      <c r="U30" s="6">
        <v>2.5</v>
      </c>
      <c r="V30" s="6">
        <v>3</v>
      </c>
      <c r="W30" s="6">
        <v>3</v>
      </c>
      <c r="X30" s="6">
        <v>4</v>
      </c>
      <c r="Y30" s="6">
        <v>4</v>
      </c>
      <c r="Z30" s="6">
        <v>6</v>
      </c>
      <c r="AA30" s="6">
        <v>7.5</v>
      </c>
      <c r="AB30" s="6">
        <v>9.5</v>
      </c>
      <c r="AC30" s="6">
        <v>8</v>
      </c>
      <c r="AD30" s="6">
        <v>3</v>
      </c>
      <c r="AE30" s="6">
        <v>6.5</v>
      </c>
      <c r="AF30" s="6">
        <v>6.5</v>
      </c>
      <c r="AG30" s="6">
        <v>6.5</v>
      </c>
      <c r="AH30" s="6">
        <v>4.5</v>
      </c>
      <c r="AI30" s="64">
        <v>8</v>
      </c>
      <c r="AJ30" s="72">
        <v>3</v>
      </c>
      <c r="AK30" s="73">
        <v>7.5</v>
      </c>
      <c r="AL30" s="73">
        <v>4.5</v>
      </c>
      <c r="BW30" s="167"/>
      <c r="BX30" s="174"/>
      <c r="BY30" s="175"/>
    </row>
    <row r="31" spans="1:77" ht="15.6">
      <c r="A31" s="68" t="s">
        <v>195</v>
      </c>
      <c r="B31" s="7" t="s">
        <v>67</v>
      </c>
      <c r="C31" s="68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0.5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2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4">
        <v>0</v>
      </c>
      <c r="AJ31" s="73">
        <v>0</v>
      </c>
      <c r="AK31" s="73">
        <v>0</v>
      </c>
      <c r="AL31" s="73">
        <v>0</v>
      </c>
      <c r="BW31" s="167"/>
      <c r="BX31" s="174"/>
      <c r="BY31" s="175"/>
    </row>
    <row r="32" spans="1:77" ht="15.6">
      <c r="A32" s="68" t="s">
        <v>196</v>
      </c>
      <c r="B32" s="7" t="s">
        <v>70</v>
      </c>
      <c r="C32" s="68">
        <v>1.5</v>
      </c>
      <c r="D32" s="6">
        <v>5</v>
      </c>
      <c r="E32" s="6">
        <v>0.5</v>
      </c>
      <c r="F32" s="6">
        <v>0</v>
      </c>
      <c r="G32" s="6">
        <v>5</v>
      </c>
      <c r="H32" s="6">
        <v>11.5</v>
      </c>
      <c r="I32" s="6">
        <v>35</v>
      </c>
      <c r="J32" s="6">
        <v>7.5</v>
      </c>
      <c r="K32" s="6">
        <v>15.5</v>
      </c>
      <c r="L32" s="6">
        <v>0.5</v>
      </c>
      <c r="M32" s="6">
        <v>0</v>
      </c>
      <c r="N32" s="6">
        <v>0.5</v>
      </c>
      <c r="O32" s="6">
        <v>3</v>
      </c>
      <c r="P32" s="6">
        <v>20.5</v>
      </c>
      <c r="Q32" s="6">
        <v>31</v>
      </c>
      <c r="R32" s="6">
        <v>21</v>
      </c>
      <c r="S32" s="6">
        <v>4.5</v>
      </c>
      <c r="T32" s="6">
        <v>2</v>
      </c>
      <c r="U32" s="6">
        <v>3</v>
      </c>
      <c r="V32" s="6">
        <v>21</v>
      </c>
      <c r="W32" s="6">
        <v>30.5</v>
      </c>
      <c r="X32" s="6">
        <v>11</v>
      </c>
      <c r="Y32" s="6">
        <v>10</v>
      </c>
      <c r="Z32" s="6">
        <v>9.5</v>
      </c>
      <c r="AA32" s="6">
        <v>25</v>
      </c>
      <c r="AB32" s="6">
        <v>17</v>
      </c>
      <c r="AC32" s="6">
        <v>9</v>
      </c>
      <c r="AD32" s="6">
        <v>11</v>
      </c>
      <c r="AE32" s="6">
        <v>28</v>
      </c>
      <c r="AF32" s="6">
        <v>10.5</v>
      </c>
      <c r="AG32" s="6">
        <v>10</v>
      </c>
      <c r="AH32" s="6">
        <v>14.5</v>
      </c>
      <c r="AI32" s="64">
        <v>7</v>
      </c>
      <c r="AJ32" s="72">
        <v>9</v>
      </c>
      <c r="AK32" s="72">
        <v>3</v>
      </c>
      <c r="AL32" s="73">
        <v>7.5</v>
      </c>
      <c r="BW32" s="167"/>
      <c r="BX32" s="174"/>
      <c r="BY32" s="175"/>
    </row>
    <row r="33" spans="1:77" ht="15.6">
      <c r="A33" s="68" t="s">
        <v>69</v>
      </c>
      <c r="B33" s="7" t="s">
        <v>69</v>
      </c>
      <c r="C33" s="68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4">
        <v>0</v>
      </c>
      <c r="AJ33" s="73">
        <v>0</v>
      </c>
      <c r="AK33" s="73">
        <v>0</v>
      </c>
      <c r="AL33" s="73">
        <v>0</v>
      </c>
      <c r="BW33" s="167"/>
      <c r="BX33" s="174"/>
      <c r="BY33" s="175"/>
    </row>
    <row r="34" spans="1:77" ht="15.6">
      <c r="A34" s="68" t="s">
        <v>110</v>
      </c>
      <c r="B34" s="7" t="s">
        <v>111</v>
      </c>
      <c r="C34" s="68"/>
      <c r="X34" s="6"/>
      <c r="Y34" s="6"/>
      <c r="Z34" s="6"/>
      <c r="AA34" s="6"/>
      <c r="AB34" s="6"/>
      <c r="AC34" s="6"/>
      <c r="AD34" s="6"/>
      <c r="AE34" s="6">
        <v>0</v>
      </c>
      <c r="AF34" s="6">
        <v>0</v>
      </c>
      <c r="AG34" s="6">
        <v>0</v>
      </c>
      <c r="AH34" s="6">
        <v>0</v>
      </c>
      <c r="AI34" s="64">
        <v>0</v>
      </c>
      <c r="AJ34" s="73">
        <v>0</v>
      </c>
      <c r="AK34" s="73">
        <v>0</v>
      </c>
      <c r="AL34" s="73">
        <v>0</v>
      </c>
      <c r="BW34" s="167"/>
      <c r="BX34" s="174"/>
      <c r="BY34" s="175"/>
    </row>
    <row r="35" spans="1:77" ht="15.6">
      <c r="A35" s="68" t="s">
        <v>84</v>
      </c>
      <c r="B35" s="7" t="s">
        <v>84</v>
      </c>
      <c r="C35" s="68"/>
      <c r="E35" s="6">
        <v>11</v>
      </c>
      <c r="F35" s="6">
        <v>1</v>
      </c>
      <c r="G35" s="6">
        <v>4.5</v>
      </c>
      <c r="H35" s="6">
        <v>3.5</v>
      </c>
      <c r="I35" s="6">
        <v>4</v>
      </c>
      <c r="J35" s="6">
        <v>5</v>
      </c>
      <c r="K35" s="6">
        <v>2</v>
      </c>
      <c r="L35" s="6">
        <v>0</v>
      </c>
      <c r="M35" s="6">
        <v>2</v>
      </c>
      <c r="N35" s="6">
        <v>0</v>
      </c>
      <c r="O35" s="6">
        <v>0</v>
      </c>
      <c r="P35" s="6">
        <v>8</v>
      </c>
      <c r="Q35" s="6">
        <v>10</v>
      </c>
      <c r="R35" s="6">
        <v>10</v>
      </c>
      <c r="S35" s="6">
        <v>11.5</v>
      </c>
      <c r="T35" s="6">
        <v>0</v>
      </c>
      <c r="U35" s="9">
        <v>3</v>
      </c>
      <c r="V35" s="6">
        <v>0.5</v>
      </c>
      <c r="W35" s="6">
        <v>4</v>
      </c>
      <c r="X35" s="9">
        <v>3.5</v>
      </c>
      <c r="Y35" s="9">
        <v>3.5</v>
      </c>
      <c r="Z35" s="9">
        <v>4</v>
      </c>
      <c r="AA35" s="9">
        <v>6.5</v>
      </c>
      <c r="AB35" s="9">
        <v>4.5</v>
      </c>
      <c r="AC35" s="9">
        <v>6.5</v>
      </c>
      <c r="AD35" s="9">
        <v>4.5</v>
      </c>
      <c r="AE35" s="6">
        <v>2.5</v>
      </c>
      <c r="AF35" s="6">
        <v>8</v>
      </c>
      <c r="AG35" s="6">
        <v>6</v>
      </c>
      <c r="AH35" s="6">
        <v>7.5</v>
      </c>
      <c r="AI35" s="64">
        <v>8.5</v>
      </c>
      <c r="AJ35" s="72">
        <v>3.5</v>
      </c>
      <c r="AK35" s="72">
        <v>6</v>
      </c>
      <c r="AL35" s="72">
        <v>2</v>
      </c>
      <c r="BW35" s="167"/>
      <c r="BX35" s="174"/>
      <c r="BY35" s="175"/>
    </row>
    <row r="36" spans="1:77" ht="15.6">
      <c r="A36" s="68" t="s">
        <v>197</v>
      </c>
      <c r="B36" s="7" t="s">
        <v>79</v>
      </c>
      <c r="C36" s="68">
        <v>161.5</v>
      </c>
      <c r="D36" s="6">
        <v>96.5</v>
      </c>
      <c r="E36" s="6">
        <v>110</v>
      </c>
      <c r="F36" s="6">
        <v>178</v>
      </c>
      <c r="G36" s="6">
        <v>104</v>
      </c>
      <c r="H36" s="6">
        <v>26.5</v>
      </c>
      <c r="I36" s="6">
        <v>115</v>
      </c>
      <c r="J36" s="6">
        <v>117</v>
      </c>
      <c r="K36" s="6">
        <v>175</v>
      </c>
      <c r="L36" s="6">
        <v>112</v>
      </c>
      <c r="M36" s="6">
        <v>95</v>
      </c>
      <c r="N36" s="6">
        <v>22</v>
      </c>
      <c r="O36" s="6">
        <v>40</v>
      </c>
      <c r="P36" s="6">
        <v>209</v>
      </c>
      <c r="Q36" s="6">
        <v>98</v>
      </c>
      <c r="R36" s="6">
        <v>115.5</v>
      </c>
      <c r="S36" s="6">
        <v>175</v>
      </c>
      <c r="T36" s="6">
        <v>130</v>
      </c>
      <c r="U36" s="6">
        <v>142</v>
      </c>
      <c r="V36" s="6">
        <v>97</v>
      </c>
      <c r="W36" s="6">
        <v>108</v>
      </c>
      <c r="X36" s="6">
        <v>129.5</v>
      </c>
      <c r="Y36" s="6">
        <v>170</v>
      </c>
      <c r="Z36" s="6">
        <v>58</v>
      </c>
      <c r="AA36" s="6">
        <v>304</v>
      </c>
      <c r="AB36" s="6">
        <v>102.5</v>
      </c>
      <c r="AC36" s="6">
        <v>89.5</v>
      </c>
      <c r="AD36" s="6">
        <v>205</v>
      </c>
      <c r="AE36" s="6">
        <v>160</v>
      </c>
      <c r="AF36" s="6">
        <v>355</v>
      </c>
      <c r="AG36" s="6">
        <v>205</v>
      </c>
      <c r="AH36" s="6">
        <v>187</v>
      </c>
      <c r="AI36" s="64">
        <v>198.5</v>
      </c>
      <c r="AJ36" s="72">
        <v>199.5</v>
      </c>
      <c r="AK36" s="72">
        <v>275</v>
      </c>
      <c r="AL36" s="73">
        <v>300</v>
      </c>
      <c r="BW36" s="167"/>
      <c r="BX36" s="174"/>
      <c r="BY36" s="175"/>
    </row>
    <row r="37" spans="1:77" ht="15.6">
      <c r="A37" s="68" t="s">
        <v>198</v>
      </c>
      <c r="B37" s="7" t="s">
        <v>80</v>
      </c>
      <c r="C37" s="68">
        <v>10</v>
      </c>
      <c r="D37" s="6">
        <v>10.5</v>
      </c>
      <c r="E37" s="6">
        <v>5.5</v>
      </c>
      <c r="F37" s="6">
        <v>9</v>
      </c>
      <c r="G37" s="6">
        <v>55</v>
      </c>
      <c r="H37" s="6">
        <v>19</v>
      </c>
      <c r="I37" s="6">
        <v>40.5</v>
      </c>
      <c r="J37" s="6">
        <v>35</v>
      </c>
      <c r="K37" s="6">
        <v>86</v>
      </c>
      <c r="L37" s="6">
        <v>16.5</v>
      </c>
      <c r="M37" s="6">
        <v>92</v>
      </c>
      <c r="N37" s="6">
        <v>28</v>
      </c>
      <c r="O37" s="6">
        <v>74</v>
      </c>
      <c r="P37" s="6">
        <v>46</v>
      </c>
      <c r="Q37" s="6">
        <v>93.5</v>
      </c>
      <c r="R37" s="6">
        <v>73</v>
      </c>
      <c r="S37" s="6">
        <v>45</v>
      </c>
      <c r="T37" s="6">
        <v>15</v>
      </c>
      <c r="U37" s="9">
        <v>31</v>
      </c>
      <c r="V37" s="6">
        <v>29.5</v>
      </c>
      <c r="W37" s="6">
        <v>12</v>
      </c>
      <c r="X37" s="9">
        <v>20</v>
      </c>
      <c r="Y37" s="9">
        <v>92</v>
      </c>
      <c r="Z37" s="9">
        <v>35</v>
      </c>
      <c r="AA37" s="9">
        <v>30</v>
      </c>
      <c r="AB37" s="9">
        <v>15</v>
      </c>
      <c r="AC37" s="9">
        <v>45</v>
      </c>
      <c r="AD37" s="9">
        <v>66</v>
      </c>
      <c r="AE37" s="6">
        <v>55</v>
      </c>
      <c r="AF37" s="6">
        <v>45</v>
      </c>
      <c r="AG37" s="6">
        <v>42</v>
      </c>
      <c r="AH37" s="6">
        <v>58</v>
      </c>
      <c r="AI37" s="64">
        <v>150</v>
      </c>
      <c r="AJ37" s="72">
        <v>69</v>
      </c>
      <c r="AK37" s="72">
        <v>160</v>
      </c>
      <c r="AL37" s="72">
        <v>100</v>
      </c>
      <c r="BW37" s="167"/>
      <c r="BX37" s="174"/>
      <c r="BY37" s="175"/>
    </row>
    <row r="38" spans="1:77">
      <c r="A38" s="68" t="s">
        <v>230</v>
      </c>
      <c r="B38" s="7" t="s">
        <v>231</v>
      </c>
      <c r="C38" s="68">
        <v>146</v>
      </c>
      <c r="D38" s="6">
        <v>174</v>
      </c>
      <c r="E38" s="6">
        <v>161.5</v>
      </c>
      <c r="F38" s="6">
        <v>182.5</v>
      </c>
      <c r="G38" s="6">
        <v>182.5</v>
      </c>
      <c r="H38" s="6">
        <v>165</v>
      </c>
      <c r="I38" s="6">
        <v>220</v>
      </c>
      <c r="J38" s="6">
        <v>227</v>
      </c>
      <c r="K38" s="6">
        <v>208.5</v>
      </c>
      <c r="L38" s="6">
        <v>298.5</v>
      </c>
      <c r="M38" s="6">
        <v>291</v>
      </c>
      <c r="N38" s="6">
        <v>324.5</v>
      </c>
      <c r="O38" s="6">
        <v>313.5</v>
      </c>
      <c r="P38" s="6">
        <v>324.5</v>
      </c>
      <c r="Q38" s="6">
        <v>330.5</v>
      </c>
      <c r="R38" s="6">
        <v>310.5</v>
      </c>
      <c r="S38" s="6">
        <v>351</v>
      </c>
      <c r="T38" s="6">
        <v>357</v>
      </c>
      <c r="U38" s="6">
        <v>376</v>
      </c>
      <c r="V38" s="6">
        <v>444</v>
      </c>
      <c r="W38" s="6">
        <v>481</v>
      </c>
      <c r="X38" s="6">
        <v>555.5</v>
      </c>
      <c r="Y38" s="6">
        <v>491</v>
      </c>
      <c r="Z38" s="6">
        <v>600.5</v>
      </c>
      <c r="AA38" s="6">
        <v>508</v>
      </c>
      <c r="AB38" s="6">
        <v>573.5</v>
      </c>
      <c r="AC38" s="6">
        <v>558</v>
      </c>
      <c r="AD38" s="6">
        <v>563.5</v>
      </c>
      <c r="AE38" s="6">
        <v>648</v>
      </c>
      <c r="AF38" s="6">
        <v>746.5</v>
      </c>
      <c r="AG38" s="6">
        <v>804</v>
      </c>
      <c r="AH38" s="6">
        <v>820.5</v>
      </c>
      <c r="AI38" s="64">
        <v>602.5</v>
      </c>
      <c r="AJ38" s="76">
        <v>608.5</v>
      </c>
      <c r="AK38" s="76">
        <v>746.5</v>
      </c>
      <c r="AL38" s="76">
        <v>787</v>
      </c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</row>
    <row r="39" spans="1:77" ht="15.6">
      <c r="A39" s="68" t="s">
        <v>103</v>
      </c>
      <c r="B39" s="71" t="s">
        <v>103</v>
      </c>
      <c r="C39" s="68"/>
      <c r="X39" s="6"/>
      <c r="Y39" s="6"/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1</v>
      </c>
      <c r="AG39" s="6">
        <v>0.5</v>
      </c>
      <c r="AH39" s="6">
        <v>0.5</v>
      </c>
      <c r="AI39" s="64">
        <v>0.5</v>
      </c>
      <c r="AJ39" s="72">
        <v>0.5</v>
      </c>
      <c r="AK39" s="72">
        <v>0</v>
      </c>
      <c r="AL39" s="73">
        <v>0</v>
      </c>
      <c r="AN39" s="10"/>
      <c r="AO39" s="10"/>
      <c r="AP39" s="10"/>
      <c r="AQ39" s="10"/>
      <c r="AR39" s="10"/>
      <c r="AS39" s="10"/>
      <c r="AT39" s="10"/>
      <c r="AU39" s="10"/>
      <c r="AV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W39" s="176"/>
      <c r="BX39" s="174"/>
      <c r="BY39" s="175"/>
    </row>
    <row r="40" spans="1:77" s="80" customFormat="1" ht="15.6">
      <c r="A40" s="68"/>
      <c r="B40" s="7"/>
      <c r="C40" s="94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177"/>
      <c r="AD40" s="177"/>
      <c r="AE40" s="77"/>
      <c r="AF40" s="77"/>
      <c r="AG40" s="77"/>
      <c r="AH40" s="77"/>
      <c r="AI40" s="92"/>
      <c r="AJ40" s="79"/>
      <c r="AK40" s="79"/>
      <c r="AL40" s="79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178"/>
      <c r="BX40" s="179"/>
      <c r="BY40" s="180"/>
    </row>
    <row r="41" spans="1:77" ht="15.6">
      <c r="A41" s="34" t="s">
        <v>232</v>
      </c>
      <c r="B41" s="181"/>
      <c r="C41" s="43">
        <f>SUM(C16:C38)</f>
        <v>323.5</v>
      </c>
      <c r="D41" s="44">
        <f>SUM(D16:D38)</f>
        <v>292</v>
      </c>
      <c r="E41" s="44">
        <f>SUM(E16:E38)</f>
        <v>296</v>
      </c>
      <c r="F41" s="44">
        <f>SUM(F16:F38)</f>
        <v>375.5</v>
      </c>
      <c r="G41" s="44">
        <f>SUM(G16:G38)</f>
        <v>356.5</v>
      </c>
      <c r="H41" s="44">
        <f>SUM(H17:H38)</f>
        <v>233.5</v>
      </c>
      <c r="I41" s="44">
        <f t="shared" ref="I41:AA41" si="0">SUM(I16:I38)</f>
        <v>422.5</v>
      </c>
      <c r="J41" s="44">
        <f t="shared" si="0"/>
        <v>399.5</v>
      </c>
      <c r="K41" s="44">
        <f t="shared" si="0"/>
        <v>495.5</v>
      </c>
      <c r="L41" s="44">
        <f t="shared" si="0"/>
        <v>436.5</v>
      </c>
      <c r="M41" s="44">
        <f t="shared" si="0"/>
        <v>487.5</v>
      </c>
      <c r="N41" s="44">
        <f t="shared" si="0"/>
        <v>384</v>
      </c>
      <c r="O41" s="44">
        <f t="shared" si="0"/>
        <v>442.5</v>
      </c>
      <c r="P41" s="44">
        <f t="shared" si="0"/>
        <v>619</v>
      </c>
      <c r="Q41" s="44">
        <f t="shared" si="0"/>
        <v>583</v>
      </c>
      <c r="R41" s="44">
        <f t="shared" si="0"/>
        <v>551.5</v>
      </c>
      <c r="S41" s="44">
        <f t="shared" si="0"/>
        <v>610</v>
      </c>
      <c r="T41" s="44">
        <f t="shared" si="0"/>
        <v>528.5</v>
      </c>
      <c r="U41" s="44">
        <f t="shared" si="0"/>
        <v>576.5</v>
      </c>
      <c r="V41" s="44">
        <f t="shared" si="0"/>
        <v>616</v>
      </c>
      <c r="W41" s="44">
        <f t="shared" si="0"/>
        <v>651.5</v>
      </c>
      <c r="X41" s="35">
        <f t="shared" si="0"/>
        <v>751.5</v>
      </c>
      <c r="Y41" s="35">
        <f t="shared" si="0"/>
        <v>788.5</v>
      </c>
      <c r="Z41" s="35">
        <f t="shared" si="0"/>
        <v>748</v>
      </c>
      <c r="AA41" s="35">
        <f t="shared" si="0"/>
        <v>897.5</v>
      </c>
      <c r="AB41" s="35">
        <f>SUM(AB16:AB39)</f>
        <v>754.5</v>
      </c>
      <c r="AC41" s="35">
        <f>SUM(AC16:AC39)</f>
        <v>739.5</v>
      </c>
      <c r="AD41" s="35">
        <f>SUM(AD16:AD39)</f>
        <v>893</v>
      </c>
      <c r="AE41" s="35">
        <v>922.5</v>
      </c>
      <c r="AF41" s="35">
        <v>1197</v>
      </c>
      <c r="AG41" s="35">
        <v>1102</v>
      </c>
      <c r="AH41" s="35">
        <v>1124.5</v>
      </c>
      <c r="AI41" s="83">
        <v>1011.5</v>
      </c>
      <c r="AJ41" s="84">
        <f>SUM(AJ16:AJ39)</f>
        <v>940</v>
      </c>
      <c r="AK41" s="84">
        <f>SUM(AK16:AK39)</f>
        <v>1232</v>
      </c>
      <c r="AL41" s="84">
        <f>SUM(AL16:AL39)</f>
        <v>1226.5</v>
      </c>
      <c r="AN41" s="85"/>
      <c r="AO41" s="85"/>
      <c r="AP41" s="85"/>
      <c r="AQ41" s="85"/>
      <c r="AR41" s="85"/>
      <c r="AS41" s="85"/>
      <c r="AT41" s="85"/>
      <c r="AU41" s="85"/>
      <c r="AV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W41" s="182"/>
      <c r="BX41" s="174"/>
      <c r="BY41" s="175"/>
    </row>
    <row r="42" spans="1:77" ht="16.2" thickBot="1">
      <c r="A42" s="183"/>
      <c r="B42" s="184"/>
      <c r="C42" s="86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90"/>
      <c r="AJ42" s="91"/>
      <c r="AK42" s="91"/>
      <c r="AL42" s="91"/>
      <c r="BW42" s="167"/>
      <c r="BX42" s="174"/>
      <c r="BY42" s="175"/>
    </row>
    <row r="43" spans="1:77" ht="15.6">
      <c r="A43" s="68"/>
      <c r="C43" s="68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92"/>
      <c r="AJ43" s="79"/>
      <c r="AK43" s="79"/>
      <c r="AL43" s="79"/>
      <c r="BW43" s="167"/>
      <c r="BX43" s="174"/>
      <c r="BY43" s="175"/>
    </row>
    <row r="44" spans="1:77" ht="15.6">
      <c r="A44" s="68" t="s">
        <v>185</v>
      </c>
      <c r="B44" s="7" t="s">
        <v>75</v>
      </c>
      <c r="C44" s="68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0.5</v>
      </c>
      <c r="T44" s="6">
        <v>0.5</v>
      </c>
      <c r="U44" s="9">
        <v>0.5</v>
      </c>
      <c r="V44" s="6">
        <v>0.5</v>
      </c>
      <c r="W44" s="6">
        <v>0.5</v>
      </c>
      <c r="X44" s="9">
        <v>0.5</v>
      </c>
      <c r="Y44" s="9">
        <v>0.5</v>
      </c>
      <c r="Z44" s="9">
        <v>0.5</v>
      </c>
      <c r="AA44" s="9">
        <v>0.5</v>
      </c>
      <c r="AB44" s="9">
        <v>0.5</v>
      </c>
      <c r="AC44" s="9">
        <v>0.5</v>
      </c>
      <c r="AD44" s="9">
        <v>0.5</v>
      </c>
      <c r="AE44" s="9">
        <v>0.5</v>
      </c>
      <c r="AF44" s="9">
        <v>0</v>
      </c>
      <c r="AG44" s="9">
        <v>0.5</v>
      </c>
      <c r="AH44" s="9"/>
      <c r="AI44" s="69"/>
      <c r="AJ44" s="70"/>
      <c r="AK44" s="70"/>
      <c r="AL44" s="7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W44" s="176"/>
      <c r="BX44" s="174"/>
      <c r="BY44" s="175"/>
    </row>
    <row r="45" spans="1:77" ht="15.6">
      <c r="A45" s="68" t="s">
        <v>201</v>
      </c>
      <c r="B45" s="7" t="s">
        <v>51</v>
      </c>
      <c r="C45" s="68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0.5</v>
      </c>
      <c r="Q45" s="6">
        <v>1.5</v>
      </c>
      <c r="R45" s="6">
        <v>3.5</v>
      </c>
      <c r="S45" s="6">
        <v>2.5</v>
      </c>
      <c r="T45" s="6">
        <v>4</v>
      </c>
      <c r="U45" s="9">
        <v>6.5</v>
      </c>
      <c r="V45" s="6">
        <v>8</v>
      </c>
      <c r="W45" s="6">
        <v>6</v>
      </c>
      <c r="X45" s="9">
        <v>6.5</v>
      </c>
      <c r="Y45" s="9">
        <v>2.5</v>
      </c>
      <c r="Z45" s="9">
        <v>4.5</v>
      </c>
      <c r="AA45" s="9">
        <v>4.5</v>
      </c>
      <c r="AB45" s="9">
        <v>4</v>
      </c>
      <c r="AC45" s="9">
        <v>4.5</v>
      </c>
      <c r="AD45" s="9">
        <v>3</v>
      </c>
      <c r="AE45" s="9">
        <v>3</v>
      </c>
      <c r="AF45" s="9">
        <v>2.5</v>
      </c>
      <c r="AG45" s="9">
        <v>2</v>
      </c>
      <c r="AH45" s="9">
        <v>4</v>
      </c>
      <c r="AI45" s="69">
        <v>4.5</v>
      </c>
      <c r="AJ45" s="93">
        <v>2</v>
      </c>
      <c r="AK45" s="93">
        <v>2</v>
      </c>
      <c r="AL45" s="93">
        <v>2</v>
      </c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W45" s="176"/>
      <c r="BX45" s="174"/>
      <c r="BY45" s="175"/>
    </row>
    <row r="46" spans="1:77" ht="15.6">
      <c r="A46" s="68" t="s">
        <v>202</v>
      </c>
      <c r="B46" s="7" t="s">
        <v>52</v>
      </c>
      <c r="C46" s="68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9">
        <v>0</v>
      </c>
      <c r="W46" s="6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69">
        <v>0</v>
      </c>
      <c r="AJ46" s="93">
        <v>0</v>
      </c>
      <c r="AK46" s="93">
        <v>0</v>
      </c>
      <c r="AL46" s="93">
        <v>0</v>
      </c>
      <c r="BW46" s="167"/>
      <c r="BX46" s="174"/>
      <c r="BY46" s="175"/>
    </row>
    <row r="47" spans="1:77" ht="15.6">
      <c r="A47" s="68" t="s">
        <v>53</v>
      </c>
      <c r="B47" s="7" t="s">
        <v>53</v>
      </c>
      <c r="C47" s="68"/>
      <c r="U47" s="9"/>
      <c r="AH47" s="9"/>
      <c r="AI47" s="69"/>
      <c r="AJ47" s="70"/>
      <c r="AK47" s="70"/>
      <c r="AL47" s="7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W47" s="176"/>
      <c r="BX47" s="174"/>
      <c r="BY47" s="175"/>
    </row>
    <row r="48" spans="1:77" ht="15.6">
      <c r="A48" s="68" t="s">
        <v>203</v>
      </c>
      <c r="B48" s="7" t="s">
        <v>54</v>
      </c>
      <c r="C48" s="68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1</v>
      </c>
      <c r="T48" s="6">
        <v>1.5</v>
      </c>
      <c r="U48" s="9">
        <v>2</v>
      </c>
      <c r="V48" s="6">
        <v>3</v>
      </c>
      <c r="W48" s="6">
        <v>6.5</v>
      </c>
      <c r="X48" s="9">
        <v>10</v>
      </c>
      <c r="Y48" s="9">
        <v>10</v>
      </c>
      <c r="Z48" s="9">
        <v>10</v>
      </c>
      <c r="AA48" s="9">
        <v>14.5</v>
      </c>
      <c r="AB48" s="9">
        <v>10.5</v>
      </c>
      <c r="AC48" s="9">
        <v>13</v>
      </c>
      <c r="AD48" s="9">
        <v>14.5</v>
      </c>
      <c r="AE48" s="9">
        <v>12</v>
      </c>
      <c r="AF48" s="9">
        <v>15.5</v>
      </c>
      <c r="AG48" s="9">
        <v>13</v>
      </c>
      <c r="AH48" s="9">
        <v>16</v>
      </c>
      <c r="AI48" s="69">
        <v>16.5</v>
      </c>
      <c r="AJ48" s="93">
        <v>16</v>
      </c>
      <c r="AK48" s="93">
        <v>16.5</v>
      </c>
      <c r="AL48" s="93">
        <v>16.5</v>
      </c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W48" s="176"/>
      <c r="BX48" s="174"/>
      <c r="BY48" s="175"/>
    </row>
    <row r="49" spans="1:77" ht="15.6">
      <c r="A49" s="68" t="s">
        <v>96</v>
      </c>
      <c r="B49" s="7" t="s">
        <v>96</v>
      </c>
      <c r="C49" s="68"/>
      <c r="U49" s="9"/>
      <c r="AH49" s="9"/>
      <c r="AI49" s="69"/>
      <c r="AJ49" s="70"/>
      <c r="AK49" s="70"/>
      <c r="AL49" s="70"/>
      <c r="BW49" s="167"/>
      <c r="BX49" s="174"/>
      <c r="BY49" s="175"/>
    </row>
    <row r="50" spans="1:77" ht="15.6">
      <c r="A50" s="68" t="s">
        <v>204</v>
      </c>
      <c r="B50" s="7" t="s">
        <v>81</v>
      </c>
      <c r="C50" s="68">
        <v>3</v>
      </c>
      <c r="D50" s="6">
        <v>9</v>
      </c>
      <c r="E50" s="6">
        <v>2</v>
      </c>
      <c r="F50" s="6">
        <v>2</v>
      </c>
      <c r="G50" s="6">
        <v>7</v>
      </c>
      <c r="H50" s="6">
        <v>9</v>
      </c>
      <c r="I50" s="6">
        <v>8</v>
      </c>
      <c r="J50" s="6">
        <v>4.5</v>
      </c>
      <c r="K50" s="6">
        <v>6</v>
      </c>
      <c r="L50" s="6">
        <v>5.5</v>
      </c>
      <c r="M50" s="6">
        <v>3.5</v>
      </c>
      <c r="N50" s="6">
        <v>5</v>
      </c>
      <c r="O50" s="6">
        <v>9.5</v>
      </c>
      <c r="P50" s="6">
        <v>9</v>
      </c>
      <c r="Q50" s="6">
        <v>12</v>
      </c>
      <c r="R50" s="6">
        <v>10</v>
      </c>
      <c r="S50" s="6">
        <v>3</v>
      </c>
      <c r="T50" s="6">
        <v>3</v>
      </c>
      <c r="U50" s="9">
        <v>3</v>
      </c>
      <c r="V50" s="6">
        <v>2.5</v>
      </c>
      <c r="W50" s="6">
        <v>3</v>
      </c>
      <c r="X50" s="9">
        <v>4.5</v>
      </c>
      <c r="Y50" s="9">
        <v>6</v>
      </c>
      <c r="Z50" s="9">
        <v>5.5</v>
      </c>
      <c r="AA50" s="9">
        <v>6.5</v>
      </c>
      <c r="AB50" s="9">
        <v>7.5</v>
      </c>
      <c r="AC50" s="9">
        <v>8</v>
      </c>
      <c r="AD50" s="9">
        <v>8.5</v>
      </c>
      <c r="AE50" s="9">
        <v>6.5</v>
      </c>
      <c r="AF50" s="9">
        <v>3.5</v>
      </c>
      <c r="AG50" s="9">
        <v>4</v>
      </c>
      <c r="AH50" s="9">
        <v>3.5</v>
      </c>
      <c r="AI50" s="69">
        <v>5.5</v>
      </c>
      <c r="AJ50" s="93">
        <v>9</v>
      </c>
      <c r="AK50" s="93">
        <v>10</v>
      </c>
      <c r="AL50" s="93">
        <v>9</v>
      </c>
      <c r="BW50" s="167"/>
      <c r="BX50" s="174"/>
      <c r="BY50" s="175"/>
    </row>
    <row r="51" spans="1:77" ht="15.6">
      <c r="A51" s="68" t="s">
        <v>205</v>
      </c>
      <c r="B51" s="7" t="s">
        <v>64</v>
      </c>
      <c r="C51" s="68"/>
      <c r="U51" s="9"/>
      <c r="AH51" s="9"/>
      <c r="AI51" s="69"/>
      <c r="AJ51" s="70"/>
      <c r="AK51" s="70"/>
      <c r="AL51" s="70"/>
      <c r="BW51" s="167"/>
      <c r="BX51" s="174"/>
      <c r="BY51" s="175"/>
    </row>
    <row r="52" spans="1:77" ht="15.6">
      <c r="A52" s="68" t="s">
        <v>206</v>
      </c>
      <c r="B52" s="7" t="s">
        <v>68</v>
      </c>
      <c r="C52" s="68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0.5</v>
      </c>
      <c r="Q52" s="6">
        <v>0.5</v>
      </c>
      <c r="R52" s="6">
        <v>0.5</v>
      </c>
      <c r="S52" s="6">
        <v>0</v>
      </c>
      <c r="T52" s="6">
        <v>0</v>
      </c>
      <c r="U52" s="9">
        <v>0</v>
      </c>
      <c r="V52" s="6">
        <v>0</v>
      </c>
      <c r="W52" s="6">
        <v>0</v>
      </c>
      <c r="X52" s="9">
        <v>0</v>
      </c>
      <c r="Y52" s="9">
        <v>0.5</v>
      </c>
      <c r="Z52" s="9">
        <v>1.5</v>
      </c>
      <c r="AA52" s="9">
        <v>0.5</v>
      </c>
      <c r="AB52" s="9">
        <v>0.5</v>
      </c>
      <c r="AC52" s="9">
        <v>0</v>
      </c>
      <c r="AD52" s="9">
        <v>0</v>
      </c>
      <c r="AE52" s="9">
        <v>1.5</v>
      </c>
      <c r="AF52" s="9">
        <v>1.5</v>
      </c>
      <c r="AG52" s="9">
        <v>1.5</v>
      </c>
      <c r="AH52" s="9">
        <v>1</v>
      </c>
      <c r="AI52" s="69"/>
      <c r="AJ52" s="70"/>
      <c r="AK52" s="70"/>
      <c r="AL52" s="70"/>
      <c r="BW52" s="167"/>
      <c r="BX52" s="174"/>
      <c r="BY52" s="175"/>
    </row>
    <row r="53" spans="1:77" ht="15.6">
      <c r="A53" s="68" t="s">
        <v>207</v>
      </c>
      <c r="B53" s="7" t="s">
        <v>97</v>
      </c>
      <c r="C53" s="68"/>
      <c r="U53" s="9"/>
      <c r="AH53" s="9"/>
      <c r="AI53" s="69"/>
      <c r="AJ53" s="70"/>
      <c r="AK53" s="70"/>
      <c r="AL53" s="70"/>
      <c r="BW53" s="167"/>
      <c r="BX53" s="174"/>
      <c r="BY53" s="175"/>
    </row>
    <row r="54" spans="1:77" ht="15.6">
      <c r="A54" s="68" t="s">
        <v>208</v>
      </c>
      <c r="B54" s="7" t="s">
        <v>74</v>
      </c>
      <c r="C54" s="68"/>
      <c r="U54" s="9"/>
      <c r="AH54" s="9"/>
      <c r="AI54" s="69"/>
      <c r="AJ54" s="93">
        <v>0.5</v>
      </c>
      <c r="AK54" s="93"/>
      <c r="AL54" s="93"/>
      <c r="BW54" s="167"/>
      <c r="BX54" s="174"/>
      <c r="BY54" s="175"/>
    </row>
    <row r="55" spans="1:77" ht="15.6">
      <c r="A55" s="68" t="s">
        <v>209</v>
      </c>
      <c r="B55" s="7" t="s">
        <v>78</v>
      </c>
      <c r="C55" s="68">
        <v>0</v>
      </c>
      <c r="D55" s="6">
        <v>0</v>
      </c>
      <c r="E55" s="6">
        <v>0</v>
      </c>
      <c r="F55" s="6">
        <v>0</v>
      </c>
      <c r="G55" s="6">
        <v>5</v>
      </c>
      <c r="H55" s="6">
        <v>11</v>
      </c>
      <c r="I55" s="6">
        <v>6</v>
      </c>
      <c r="J55" s="6">
        <v>3</v>
      </c>
      <c r="K55" s="6">
        <v>4</v>
      </c>
      <c r="L55" s="6">
        <v>2.5</v>
      </c>
      <c r="M55" s="6">
        <v>10</v>
      </c>
      <c r="N55" s="6">
        <v>5.5</v>
      </c>
      <c r="O55" s="6">
        <v>30.5</v>
      </c>
      <c r="P55" s="6">
        <v>28</v>
      </c>
      <c r="Q55" s="6">
        <v>36</v>
      </c>
      <c r="R55" s="6">
        <v>35</v>
      </c>
      <c r="S55" s="6">
        <v>40</v>
      </c>
      <c r="T55" s="6">
        <v>20</v>
      </c>
      <c r="U55" s="6">
        <v>15</v>
      </c>
      <c r="V55" s="6">
        <v>18</v>
      </c>
      <c r="W55" s="6">
        <v>23</v>
      </c>
      <c r="X55" s="6">
        <v>25</v>
      </c>
      <c r="Y55" s="6">
        <v>30</v>
      </c>
      <c r="Z55" s="6">
        <v>10</v>
      </c>
      <c r="AA55" s="6">
        <v>0</v>
      </c>
      <c r="AB55" s="6">
        <v>6</v>
      </c>
      <c r="AC55" s="9">
        <v>12</v>
      </c>
      <c r="AD55" s="9">
        <v>20</v>
      </c>
      <c r="AE55" s="9">
        <v>18</v>
      </c>
      <c r="AF55" s="9">
        <v>15</v>
      </c>
      <c r="AG55" s="9">
        <v>18.5</v>
      </c>
      <c r="AH55" s="9">
        <v>23.5</v>
      </c>
      <c r="AI55" s="69">
        <v>41</v>
      </c>
      <c r="AJ55" s="93">
        <v>69</v>
      </c>
      <c r="AK55" s="93">
        <v>37</v>
      </c>
      <c r="AL55" s="93">
        <v>38</v>
      </c>
      <c r="BW55" s="167"/>
      <c r="BX55" s="174"/>
      <c r="BY55" s="175"/>
    </row>
    <row r="56" spans="1:77" ht="15.6">
      <c r="A56" s="68" t="s">
        <v>210</v>
      </c>
      <c r="B56" s="7" t="s">
        <v>77</v>
      </c>
      <c r="C56" s="68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1.5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X56" s="6"/>
      <c r="Y56" s="6"/>
      <c r="Z56" s="6"/>
      <c r="AA56" s="6"/>
      <c r="AB56" s="6"/>
      <c r="AC56" s="6"/>
      <c r="AD56" s="6"/>
      <c r="AH56" s="9"/>
      <c r="AI56" s="69"/>
      <c r="AJ56" s="70"/>
      <c r="AK56" s="70"/>
      <c r="AL56" s="70"/>
      <c r="BW56" s="167"/>
      <c r="BX56" s="174"/>
      <c r="BY56" s="175"/>
    </row>
    <row r="57" spans="1:77" ht="15.6">
      <c r="A57" s="68" t="s">
        <v>211</v>
      </c>
      <c r="B57" s="7" t="s">
        <v>91</v>
      </c>
      <c r="C57" s="68"/>
      <c r="U57" s="9"/>
      <c r="AH57" s="9"/>
      <c r="AI57" s="69"/>
      <c r="AJ57" s="70"/>
      <c r="AK57" s="70"/>
      <c r="AL57" s="70"/>
      <c r="BW57" s="167"/>
      <c r="BX57" s="174"/>
      <c r="BY57" s="175"/>
    </row>
    <row r="58" spans="1:77" ht="15.6">
      <c r="A58" s="68" t="s">
        <v>212</v>
      </c>
      <c r="B58" s="7" t="s">
        <v>72</v>
      </c>
      <c r="C58" s="68">
        <v>10.5</v>
      </c>
      <c r="D58" s="6">
        <v>2.5</v>
      </c>
      <c r="E58" s="6">
        <v>0</v>
      </c>
      <c r="F58" s="6">
        <v>0.5</v>
      </c>
      <c r="G58" s="6">
        <v>0</v>
      </c>
      <c r="H58" s="6">
        <v>3</v>
      </c>
      <c r="I58" s="6">
        <v>0</v>
      </c>
      <c r="J58" s="6">
        <v>0</v>
      </c>
      <c r="K58" s="6">
        <v>0.5</v>
      </c>
      <c r="L58" s="6">
        <v>0</v>
      </c>
      <c r="M58" s="6">
        <v>1</v>
      </c>
      <c r="N58" s="6">
        <v>0</v>
      </c>
      <c r="O58" s="6">
        <v>0.5</v>
      </c>
      <c r="P58" s="6">
        <v>0.5</v>
      </c>
      <c r="Q58" s="6">
        <v>0.5</v>
      </c>
      <c r="R58" s="6">
        <v>3</v>
      </c>
      <c r="S58" s="6">
        <v>5</v>
      </c>
      <c r="T58" s="6">
        <v>5</v>
      </c>
      <c r="U58" s="9">
        <v>5</v>
      </c>
      <c r="V58" s="6">
        <v>5</v>
      </c>
      <c r="W58" s="6">
        <v>5</v>
      </c>
      <c r="X58" s="9">
        <v>5</v>
      </c>
      <c r="Y58" s="9">
        <v>5</v>
      </c>
      <c r="Z58" s="9">
        <v>5</v>
      </c>
      <c r="AA58" s="9">
        <v>5</v>
      </c>
      <c r="AB58" s="9">
        <v>5</v>
      </c>
      <c r="AC58" s="9">
        <v>5</v>
      </c>
      <c r="AD58" s="9">
        <v>5</v>
      </c>
      <c r="AE58" s="9">
        <v>5</v>
      </c>
      <c r="AF58" s="9">
        <v>5</v>
      </c>
      <c r="AG58" s="9">
        <v>5</v>
      </c>
      <c r="AH58" s="9">
        <v>5</v>
      </c>
      <c r="AI58" s="69">
        <v>5</v>
      </c>
      <c r="AJ58" s="93">
        <v>5</v>
      </c>
      <c r="AK58" s="93">
        <v>5</v>
      </c>
      <c r="AL58" s="93">
        <v>5</v>
      </c>
      <c r="BW58" s="167"/>
      <c r="BX58" s="174"/>
      <c r="BY58" s="175"/>
    </row>
    <row r="59" spans="1:77" ht="15.6">
      <c r="A59" s="68" t="s">
        <v>213</v>
      </c>
      <c r="B59" s="7" t="s">
        <v>71</v>
      </c>
      <c r="C59" s="68"/>
      <c r="AH59" s="9"/>
      <c r="AI59" s="69"/>
      <c r="AJ59" s="70"/>
      <c r="AK59" s="70"/>
      <c r="AL59" s="70"/>
      <c r="AN59" s="10"/>
      <c r="AO59" s="10"/>
      <c r="AP59" s="10"/>
      <c r="AQ59" s="10"/>
      <c r="AR59" s="10"/>
      <c r="AS59" s="10"/>
      <c r="AT59" s="10"/>
      <c r="AU59" s="10"/>
      <c r="AV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W59" s="176"/>
      <c r="BX59" s="174"/>
      <c r="BY59" s="175"/>
    </row>
    <row r="60" spans="1:77" s="80" customFormat="1" ht="15.6">
      <c r="A60" s="68"/>
      <c r="B60" s="7"/>
      <c r="C60" s="94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92"/>
      <c r="AJ60" s="79"/>
      <c r="AK60" s="79"/>
      <c r="AL60" s="79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</row>
    <row r="61" spans="1:77" ht="15.6">
      <c r="A61" s="34" t="s">
        <v>233</v>
      </c>
      <c r="B61" s="185"/>
      <c r="C61" s="43">
        <f>SUM(C44:C59)</f>
        <v>13.5</v>
      </c>
      <c r="D61" s="44">
        <f t="shared" ref="D61:U61" si="1">SUM(D44:D58)</f>
        <v>11.5</v>
      </c>
      <c r="E61" s="44">
        <f t="shared" si="1"/>
        <v>2</v>
      </c>
      <c r="F61" s="44">
        <f t="shared" si="1"/>
        <v>2.5</v>
      </c>
      <c r="G61" s="44">
        <f t="shared" si="1"/>
        <v>12</v>
      </c>
      <c r="H61" s="44">
        <f t="shared" si="1"/>
        <v>23</v>
      </c>
      <c r="I61" s="44">
        <f t="shared" si="1"/>
        <v>15.5</v>
      </c>
      <c r="J61" s="44">
        <f t="shared" si="1"/>
        <v>7.5</v>
      </c>
      <c r="K61" s="44">
        <f t="shared" si="1"/>
        <v>10.5</v>
      </c>
      <c r="L61" s="44">
        <f t="shared" si="1"/>
        <v>8</v>
      </c>
      <c r="M61" s="44">
        <f t="shared" si="1"/>
        <v>14.5</v>
      </c>
      <c r="N61" s="44">
        <f t="shared" si="1"/>
        <v>10.5</v>
      </c>
      <c r="O61" s="44">
        <f t="shared" si="1"/>
        <v>40.5</v>
      </c>
      <c r="P61" s="44">
        <f t="shared" si="1"/>
        <v>38.5</v>
      </c>
      <c r="Q61" s="44">
        <f t="shared" si="1"/>
        <v>50.5</v>
      </c>
      <c r="R61" s="44">
        <f t="shared" si="1"/>
        <v>52</v>
      </c>
      <c r="S61" s="44">
        <f t="shared" si="1"/>
        <v>52</v>
      </c>
      <c r="T61" s="44">
        <f t="shared" si="1"/>
        <v>34</v>
      </c>
      <c r="U61" s="44">
        <f t="shared" si="1"/>
        <v>32</v>
      </c>
      <c r="V61" s="44">
        <f>SUM(V44:V59)</f>
        <v>37</v>
      </c>
      <c r="W61" s="44">
        <f>SUM(W44:W59)</f>
        <v>44</v>
      </c>
      <c r="X61" s="35">
        <f t="shared" ref="X61:AC61" si="2">SUM(X44:X58)</f>
        <v>51.5</v>
      </c>
      <c r="Y61" s="35">
        <f t="shared" si="2"/>
        <v>54.5</v>
      </c>
      <c r="Z61" s="35">
        <f t="shared" si="2"/>
        <v>37</v>
      </c>
      <c r="AA61" s="35">
        <f t="shared" si="2"/>
        <v>31.5</v>
      </c>
      <c r="AB61" s="35">
        <f t="shared" si="2"/>
        <v>34</v>
      </c>
      <c r="AC61" s="35">
        <f t="shared" si="2"/>
        <v>43</v>
      </c>
      <c r="AD61" s="35">
        <f>SUM(AD44:AD58)</f>
        <v>51.5</v>
      </c>
      <c r="AE61" s="35">
        <v>46.5</v>
      </c>
      <c r="AF61" s="35">
        <v>43</v>
      </c>
      <c r="AG61" s="35">
        <v>44.5</v>
      </c>
      <c r="AH61" s="35">
        <v>53</v>
      </c>
      <c r="AI61" s="83">
        <v>72.5</v>
      </c>
      <c r="AJ61" s="84">
        <f>SUM(AJ44:AJ59)</f>
        <v>101.5</v>
      </c>
      <c r="AK61" s="84">
        <f>SUM(AK44:AK59)</f>
        <v>70.5</v>
      </c>
      <c r="AL61" s="84">
        <f>SUM(AL44:AL59)</f>
        <v>70.5</v>
      </c>
      <c r="AN61" s="85"/>
      <c r="AO61" s="85"/>
      <c r="AP61" s="85"/>
      <c r="AQ61" s="85"/>
      <c r="AR61" s="85"/>
      <c r="AS61" s="85"/>
      <c r="AT61" s="85"/>
      <c r="AU61" s="85"/>
      <c r="AV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W61" s="182"/>
      <c r="BX61" s="174"/>
      <c r="BY61" s="175"/>
    </row>
    <row r="62" spans="1:77" ht="15.6" thickBot="1">
      <c r="A62" s="147"/>
      <c r="C62" s="147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9"/>
      <c r="AE62" s="89"/>
      <c r="AF62" s="89"/>
      <c r="AG62" s="89"/>
      <c r="AH62" s="89"/>
      <c r="AI62" s="90"/>
      <c r="AJ62" s="91"/>
      <c r="AK62" s="91"/>
      <c r="AL62" s="9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</row>
    <row r="63" spans="1:77" ht="15.6">
      <c r="A63" s="148"/>
      <c r="B63" s="186"/>
      <c r="C63" s="148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96"/>
      <c r="Y63" s="150"/>
      <c r="Z63" s="150"/>
      <c r="AA63" s="150"/>
      <c r="AB63" s="150"/>
      <c r="AC63" s="150"/>
      <c r="AD63" s="150"/>
      <c r="AE63" s="139"/>
      <c r="AF63" s="139"/>
      <c r="AG63" s="139"/>
      <c r="AH63" s="139"/>
      <c r="AI63" s="140"/>
      <c r="AJ63" s="46"/>
      <c r="AK63" s="46"/>
      <c r="AL63" s="46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</row>
    <row r="64" spans="1:77" s="80" customFormat="1" ht="15.6">
      <c r="A64" s="43"/>
      <c r="B64" s="67"/>
      <c r="C64" s="66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96"/>
      <c r="Y64" s="96"/>
      <c r="Z64" s="96"/>
      <c r="AA64" s="96"/>
      <c r="AB64" s="96"/>
      <c r="AC64" s="96"/>
      <c r="AD64" s="96"/>
      <c r="AE64" s="139"/>
      <c r="AF64" s="139"/>
      <c r="AG64" s="139"/>
      <c r="AH64" s="139"/>
      <c r="AI64" s="140"/>
      <c r="AJ64" s="46"/>
      <c r="AK64" s="46"/>
      <c r="AL64" s="46"/>
      <c r="AM64" s="18"/>
      <c r="AN64" s="18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</row>
    <row r="65" spans="1:77" ht="15.6">
      <c r="A65" s="187" t="s">
        <v>215</v>
      </c>
      <c r="B65" s="188"/>
      <c r="C65" s="43">
        <f t="shared" ref="C65:AB65" si="3">C41+C61</f>
        <v>337</v>
      </c>
      <c r="D65" s="44">
        <f t="shared" si="3"/>
        <v>303.5</v>
      </c>
      <c r="E65" s="44">
        <f t="shared" si="3"/>
        <v>298</v>
      </c>
      <c r="F65" s="44">
        <f t="shared" si="3"/>
        <v>378</v>
      </c>
      <c r="G65" s="44">
        <f t="shared" si="3"/>
        <v>368.5</v>
      </c>
      <c r="H65" s="44">
        <f t="shared" si="3"/>
        <v>256.5</v>
      </c>
      <c r="I65" s="44">
        <f t="shared" si="3"/>
        <v>438</v>
      </c>
      <c r="J65" s="44">
        <f t="shared" si="3"/>
        <v>407</v>
      </c>
      <c r="K65" s="44">
        <f t="shared" si="3"/>
        <v>506</v>
      </c>
      <c r="L65" s="44">
        <f t="shared" si="3"/>
        <v>444.5</v>
      </c>
      <c r="M65" s="44">
        <f t="shared" si="3"/>
        <v>502</v>
      </c>
      <c r="N65" s="44">
        <f t="shared" si="3"/>
        <v>394.5</v>
      </c>
      <c r="O65" s="44">
        <f t="shared" si="3"/>
        <v>483</v>
      </c>
      <c r="P65" s="44">
        <f t="shared" si="3"/>
        <v>657.5</v>
      </c>
      <c r="Q65" s="44">
        <f t="shared" si="3"/>
        <v>633.5</v>
      </c>
      <c r="R65" s="44">
        <f t="shared" si="3"/>
        <v>603.5</v>
      </c>
      <c r="S65" s="44">
        <f t="shared" si="3"/>
        <v>662</v>
      </c>
      <c r="T65" s="44">
        <f t="shared" si="3"/>
        <v>562.5</v>
      </c>
      <c r="U65" s="44">
        <f t="shared" si="3"/>
        <v>608.5</v>
      </c>
      <c r="V65" s="44">
        <f t="shared" si="3"/>
        <v>653</v>
      </c>
      <c r="W65" s="44">
        <f t="shared" si="3"/>
        <v>695.5</v>
      </c>
      <c r="X65" s="35">
        <f t="shared" si="3"/>
        <v>803</v>
      </c>
      <c r="Y65" s="35">
        <f t="shared" si="3"/>
        <v>843</v>
      </c>
      <c r="Z65" s="35">
        <f t="shared" si="3"/>
        <v>785</v>
      </c>
      <c r="AA65" s="35">
        <f t="shared" si="3"/>
        <v>929</v>
      </c>
      <c r="AB65" s="35">
        <f t="shared" si="3"/>
        <v>788.5</v>
      </c>
      <c r="AC65" s="35">
        <f>AC41+AC61</f>
        <v>782.5</v>
      </c>
      <c r="AD65" s="35">
        <f>AD41+AD61</f>
        <v>944.5</v>
      </c>
      <c r="AE65" s="139">
        <v>969</v>
      </c>
      <c r="AF65" s="139">
        <v>1240</v>
      </c>
      <c r="AG65" s="139">
        <v>1146.5</v>
      </c>
      <c r="AH65" s="139">
        <v>1177.5</v>
      </c>
      <c r="AI65" s="140">
        <v>1084</v>
      </c>
      <c r="AJ65" s="46">
        <f>AJ41+AJ61</f>
        <v>1041.5</v>
      </c>
      <c r="AK65" s="46">
        <f>AK41+AK61</f>
        <v>1302.5</v>
      </c>
      <c r="AL65" s="46">
        <f>AL41+AL61</f>
        <v>1297</v>
      </c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</row>
    <row r="66" spans="1:77" ht="16.2" thickBot="1">
      <c r="A66" s="151"/>
      <c r="B66" s="152"/>
      <c r="C66" s="151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89"/>
      <c r="Y66" s="89"/>
      <c r="Z66" s="89"/>
      <c r="AA66" s="89"/>
      <c r="AB66" s="89"/>
      <c r="AC66" s="89"/>
      <c r="AD66" s="89"/>
      <c r="AE66" s="154"/>
      <c r="AF66" s="154"/>
      <c r="AG66" s="154"/>
      <c r="AH66" s="154"/>
      <c r="AI66" s="155"/>
      <c r="AJ66" s="156"/>
      <c r="AK66" s="156"/>
      <c r="AL66" s="156"/>
      <c r="BX66" s="174"/>
      <c r="BY66" s="175"/>
    </row>
    <row r="67" spans="1:77" ht="15.6">
      <c r="A67" s="18" t="s">
        <v>228</v>
      </c>
      <c r="B67" s="105"/>
      <c r="AM67" s="10"/>
      <c r="BX67" s="174"/>
      <c r="BY67" s="174"/>
    </row>
    <row r="68" spans="1:77" ht="15.6">
      <c r="A68" s="189"/>
      <c r="B68" s="189"/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  <c r="AM68" s="10"/>
      <c r="BX68" s="174"/>
      <c r="BY68" s="174"/>
    </row>
    <row r="69" spans="1:77" ht="30">
      <c r="A69" s="157" t="s">
        <v>216</v>
      </c>
      <c r="B69" s="157" t="s">
        <v>217</v>
      </c>
      <c r="AM69" s="85"/>
      <c r="AO69" s="85"/>
      <c r="AP69" s="85"/>
      <c r="AQ69" s="85"/>
      <c r="AR69" s="85"/>
      <c r="AS69" s="85"/>
      <c r="AT69" s="85"/>
      <c r="AU69" s="85"/>
      <c r="AV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M69" s="85"/>
      <c r="BO69" s="85"/>
      <c r="BP69" s="85"/>
      <c r="BQ69" s="85"/>
      <c r="BX69" s="174"/>
      <c r="BY69" s="174"/>
    </row>
    <row r="70" spans="1:77" ht="30">
      <c r="A70" s="159" t="s">
        <v>218</v>
      </c>
      <c r="B70" s="159" t="s">
        <v>219</v>
      </c>
      <c r="E70" s="85"/>
      <c r="G70" s="85"/>
      <c r="H70" s="85"/>
      <c r="I70" s="85"/>
      <c r="BX70" s="174"/>
      <c r="BY70" s="174"/>
    </row>
    <row r="71" spans="1:77" ht="16.8">
      <c r="A71" s="190" t="s">
        <v>220</v>
      </c>
      <c r="B71" s="190" t="s">
        <v>221</v>
      </c>
      <c r="AM71" s="112"/>
      <c r="BX71" s="174"/>
      <c r="BY71" s="174"/>
    </row>
    <row r="72" spans="1:77" ht="16.8">
      <c r="AM72" s="112"/>
      <c r="BX72" s="174"/>
      <c r="BY72" s="174"/>
    </row>
    <row r="73" spans="1:77" ht="16.8">
      <c r="A73" s="112"/>
      <c r="B73" s="14"/>
      <c r="BX73" s="174"/>
      <c r="BY73" s="174"/>
    </row>
    <row r="74" spans="1:77" ht="16.8">
      <c r="A74" s="112"/>
      <c r="B74" s="14"/>
      <c r="AM74" s="18"/>
      <c r="BX74" s="174"/>
      <c r="BY74" s="174"/>
    </row>
    <row r="75" spans="1:77" ht="15.6">
      <c r="AM75" s="18"/>
    </row>
    <row r="76" spans="1:77" ht="15.6">
      <c r="A76" s="18"/>
      <c r="B76" s="17"/>
      <c r="AM76" s="18"/>
      <c r="BX76" s="174"/>
      <c r="BY76" s="174"/>
    </row>
    <row r="77" spans="1:77" ht="15.6">
      <c r="A77" s="18"/>
      <c r="B77" s="17"/>
      <c r="AM77" s="113"/>
      <c r="BX77" s="174"/>
      <c r="BY77" s="174"/>
    </row>
    <row r="78" spans="1:77" ht="15.6">
      <c r="A78" s="18"/>
      <c r="B78" s="17"/>
      <c r="BX78" s="174"/>
      <c r="BY78" s="174"/>
    </row>
    <row r="79" spans="1:77" ht="15.6">
      <c r="A79" s="113"/>
      <c r="B79" s="114"/>
      <c r="O79" s="10"/>
      <c r="P79" s="10"/>
      <c r="Q79" s="10"/>
      <c r="R79" s="10"/>
      <c r="S79" s="10"/>
      <c r="T79" s="10"/>
      <c r="U79" s="10"/>
      <c r="V79" s="10"/>
      <c r="W79" s="10"/>
      <c r="BW79" s="163"/>
      <c r="BX79" s="163"/>
      <c r="BY79" s="164"/>
    </row>
    <row r="80" spans="1:77" ht="16.8">
      <c r="K80" s="9"/>
      <c r="L80" s="9"/>
      <c r="M80" s="115"/>
      <c r="N80" s="115"/>
      <c r="AP80" s="9"/>
      <c r="AQ80" s="9"/>
      <c r="AR80" s="9"/>
      <c r="AS80" s="9"/>
      <c r="AT80" s="9"/>
      <c r="AU80" s="9"/>
      <c r="AV80" s="9"/>
      <c r="AW80" s="10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115"/>
      <c r="BW80" s="165"/>
      <c r="BY80" s="166"/>
    </row>
    <row r="81" spans="3:77" ht="15.6"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85"/>
      <c r="P81" s="85"/>
      <c r="Q81" s="85"/>
      <c r="R81" s="85"/>
      <c r="S81" s="85"/>
      <c r="T81" s="85"/>
      <c r="U81" s="85"/>
      <c r="V81" s="85"/>
      <c r="W81" s="85"/>
      <c r="AW81" s="10"/>
      <c r="BS81" s="9"/>
      <c r="BT81" s="9"/>
      <c r="BU81" s="9"/>
      <c r="BW81" s="167"/>
      <c r="BY81" s="166"/>
    </row>
    <row r="82" spans="3:77" ht="15.6">
      <c r="K82" s="56"/>
      <c r="L82" s="56"/>
      <c r="M82" s="116"/>
      <c r="N82" s="116"/>
      <c r="BK82" s="56"/>
      <c r="BL82" s="56"/>
      <c r="BM82" s="56"/>
      <c r="BN82" s="56"/>
      <c r="BO82" s="56"/>
      <c r="BP82" s="56"/>
      <c r="BQ82" s="56"/>
      <c r="BR82" s="56"/>
      <c r="BS82" s="56"/>
      <c r="BT82" s="56"/>
      <c r="BU82" s="116"/>
      <c r="BW82" s="163"/>
      <c r="BX82" s="118"/>
      <c r="BY82" s="170"/>
    </row>
    <row r="83" spans="3:77" ht="15.6">
      <c r="C83" s="56"/>
      <c r="D83" s="56"/>
      <c r="E83" s="56"/>
      <c r="F83" s="56"/>
      <c r="G83" s="56"/>
      <c r="H83" s="56"/>
      <c r="I83" s="56"/>
      <c r="J83" s="56"/>
      <c r="BW83" s="167"/>
      <c r="BY83" s="173"/>
    </row>
    <row r="84" spans="3:77" ht="15.6">
      <c r="BW84" s="167"/>
      <c r="BY84" s="173"/>
    </row>
    <row r="85" spans="3:77" ht="15.6">
      <c r="BW85" s="167"/>
      <c r="BX85" s="174"/>
      <c r="BY85" s="175"/>
    </row>
    <row r="86" spans="3:77" ht="15.6">
      <c r="BW86" s="167"/>
      <c r="BX86" s="174"/>
      <c r="BY86" s="175"/>
    </row>
    <row r="87" spans="3:77" ht="15.6">
      <c r="BW87" s="167"/>
      <c r="BX87" s="174"/>
      <c r="BY87" s="175"/>
    </row>
    <row r="88" spans="3:77" ht="15.6">
      <c r="BW88" s="167"/>
      <c r="BX88" s="174"/>
      <c r="BY88" s="175"/>
    </row>
    <row r="89" spans="3:77" ht="15.6">
      <c r="BW89" s="167"/>
      <c r="BX89" s="174"/>
      <c r="BY89" s="175"/>
    </row>
    <row r="90" spans="3:77" ht="15.6">
      <c r="BW90" s="167"/>
      <c r="BX90" s="174"/>
      <c r="BY90" s="175"/>
    </row>
    <row r="91" spans="3:77" ht="15.6">
      <c r="BW91" s="167"/>
      <c r="BY91" s="173"/>
    </row>
    <row r="92" spans="3:77" ht="15.6">
      <c r="BW92" s="167"/>
      <c r="BX92" s="174"/>
      <c r="BY92" s="175"/>
    </row>
    <row r="93" spans="3:77" ht="15.6">
      <c r="BW93" s="167"/>
      <c r="BX93" s="174"/>
      <c r="BY93" s="175"/>
    </row>
    <row r="94" spans="3:77" ht="15.6">
      <c r="BW94" s="167"/>
      <c r="BX94" s="174"/>
      <c r="BY94" s="175"/>
    </row>
    <row r="95" spans="3:77" ht="15.6">
      <c r="O95" s="10"/>
      <c r="P95" s="10"/>
      <c r="Q95" s="10"/>
      <c r="R95" s="10"/>
      <c r="S95" s="10"/>
      <c r="T95" s="10"/>
      <c r="U95" s="10"/>
      <c r="V95" s="10"/>
      <c r="W95" s="10"/>
      <c r="BW95" s="167"/>
      <c r="BX95" s="174"/>
      <c r="BY95" s="175"/>
    </row>
    <row r="96" spans="3:77" ht="15.6">
      <c r="BW96" s="167"/>
      <c r="BX96" s="174"/>
      <c r="BY96" s="175"/>
    </row>
    <row r="97" spans="1:77" ht="15.6">
      <c r="O97" s="85"/>
      <c r="P97" s="85"/>
      <c r="Q97" s="85"/>
      <c r="R97" s="85"/>
      <c r="S97" s="85"/>
      <c r="T97" s="85"/>
      <c r="U97" s="85"/>
      <c r="V97" s="85"/>
      <c r="W97" s="85"/>
      <c r="BW97" s="167"/>
      <c r="BX97" s="174"/>
      <c r="BY97" s="175"/>
    </row>
    <row r="98" spans="1:77" ht="15.6">
      <c r="BW98" s="167"/>
      <c r="BX98" s="174"/>
      <c r="BY98" s="175"/>
    </row>
    <row r="99" spans="1:77" ht="15.6">
      <c r="BW99" s="167"/>
      <c r="BX99" s="174"/>
      <c r="BY99" s="175"/>
    </row>
    <row r="100" spans="1:77" ht="15.6">
      <c r="BW100" s="167"/>
      <c r="BX100" s="174"/>
      <c r="BY100" s="175"/>
    </row>
    <row r="101" spans="1:77" ht="15.6">
      <c r="K101" s="10"/>
      <c r="L101" s="10"/>
      <c r="M101" s="10"/>
      <c r="N101" s="10"/>
      <c r="AO101" s="10"/>
      <c r="AP101" s="10"/>
      <c r="AQ101" s="10"/>
      <c r="AR101" s="10"/>
      <c r="AS101" s="10"/>
      <c r="AT101" s="10"/>
      <c r="AU101" s="10"/>
      <c r="AV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W101" s="176"/>
      <c r="BX101" s="174"/>
      <c r="BY101" s="175"/>
    </row>
    <row r="102" spans="1:77" ht="15.6">
      <c r="C102" s="10"/>
      <c r="D102" s="10"/>
      <c r="E102" s="10"/>
      <c r="F102" s="10"/>
      <c r="G102" s="10"/>
      <c r="H102" s="10"/>
      <c r="I102" s="10"/>
      <c r="J102" s="10"/>
      <c r="AM102" s="10"/>
      <c r="BW102" s="167"/>
      <c r="BX102" s="174"/>
      <c r="BY102" s="175"/>
    </row>
    <row r="103" spans="1:77" ht="15.6">
      <c r="K103" s="85"/>
      <c r="L103" s="85"/>
      <c r="M103" s="85"/>
      <c r="N103" s="85"/>
      <c r="AM103" s="85"/>
      <c r="AO103" s="85"/>
      <c r="AP103" s="85"/>
      <c r="AQ103" s="85"/>
      <c r="AR103" s="85"/>
      <c r="AS103" s="85"/>
      <c r="AT103" s="85"/>
      <c r="AU103" s="85"/>
      <c r="AV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W103" s="182"/>
      <c r="BX103" s="174"/>
      <c r="BY103" s="175"/>
    </row>
    <row r="104" spans="1:77" ht="15.6">
      <c r="A104" s="10"/>
      <c r="C104" s="85"/>
      <c r="D104" s="85"/>
      <c r="E104" s="85"/>
      <c r="F104" s="85"/>
      <c r="G104" s="85"/>
      <c r="H104" s="85"/>
      <c r="I104" s="85"/>
      <c r="J104" s="85"/>
      <c r="BW104" s="167"/>
      <c r="BX104" s="174"/>
      <c r="BY104" s="175"/>
    </row>
    <row r="105" spans="1:77" ht="15.6">
      <c r="A105" s="85"/>
      <c r="O105" s="10"/>
      <c r="P105" s="10"/>
      <c r="Q105" s="10"/>
      <c r="R105" s="10"/>
      <c r="S105" s="10"/>
      <c r="T105" s="10"/>
      <c r="U105" s="10"/>
      <c r="V105" s="10"/>
      <c r="W105" s="10"/>
      <c r="BW105" s="167"/>
      <c r="BX105" s="174"/>
      <c r="BY105" s="175"/>
    </row>
    <row r="106" spans="1:77" ht="15.6">
      <c r="BW106" s="167"/>
      <c r="BX106" s="174"/>
      <c r="BY106" s="175"/>
    </row>
    <row r="107" spans="1:77" ht="15.6">
      <c r="K107" s="10"/>
      <c r="L107" s="10"/>
      <c r="O107" s="85"/>
      <c r="P107" s="85"/>
      <c r="Q107" s="85"/>
      <c r="R107" s="85"/>
      <c r="S107" s="85"/>
      <c r="T107" s="85"/>
      <c r="U107" s="85"/>
      <c r="V107" s="85"/>
      <c r="W107" s="85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W107" s="176"/>
      <c r="BX107" s="174"/>
      <c r="BY107" s="175"/>
    </row>
    <row r="108" spans="1:77" ht="15.6">
      <c r="C108" s="10"/>
      <c r="D108" s="10"/>
      <c r="E108" s="10"/>
      <c r="F108" s="10"/>
      <c r="G108" s="10"/>
      <c r="H108" s="10"/>
      <c r="I108" s="10"/>
      <c r="J108" s="10"/>
      <c r="BW108" s="167"/>
      <c r="BX108" s="174"/>
      <c r="BY108" s="175"/>
    </row>
    <row r="109" spans="1:77" ht="15.6">
      <c r="BW109" s="167"/>
      <c r="BX109" s="174"/>
      <c r="BY109" s="175"/>
    </row>
    <row r="110" spans="1:77" ht="15.6">
      <c r="O110" s="18"/>
      <c r="P110" s="18"/>
      <c r="Q110" s="18"/>
      <c r="R110" s="18"/>
      <c r="S110" s="18"/>
      <c r="T110" s="18"/>
      <c r="U110" s="18"/>
      <c r="V110" s="18"/>
      <c r="W110" s="18"/>
      <c r="BW110" s="167"/>
      <c r="BX110" s="174"/>
      <c r="BY110" s="175"/>
    </row>
    <row r="111" spans="1:77" ht="15.6">
      <c r="K111" s="10"/>
      <c r="L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W111" s="176"/>
      <c r="BX111" s="174"/>
      <c r="BY111" s="175"/>
    </row>
    <row r="112" spans="1:77" ht="15.6">
      <c r="C112" s="10"/>
      <c r="D112" s="10"/>
      <c r="E112" s="10"/>
      <c r="F112" s="10"/>
      <c r="G112" s="10"/>
      <c r="H112" s="10"/>
      <c r="I112" s="10"/>
      <c r="J112" s="10"/>
      <c r="BW112" s="167"/>
      <c r="BX112" s="174"/>
      <c r="BY112" s="175"/>
    </row>
    <row r="113" spans="1:77" ht="15.6">
      <c r="BW113" s="167"/>
      <c r="BX113" s="174"/>
      <c r="BY113" s="175"/>
    </row>
    <row r="114" spans="1:77" ht="15.6">
      <c r="K114" s="10"/>
      <c r="L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W114" s="176"/>
      <c r="BX114" s="174"/>
      <c r="BY114" s="175"/>
    </row>
    <row r="115" spans="1:77" ht="15.6">
      <c r="C115" s="10"/>
      <c r="D115" s="10"/>
      <c r="E115" s="10"/>
      <c r="F115" s="10"/>
      <c r="G115" s="10"/>
      <c r="H115" s="10"/>
      <c r="I115" s="10"/>
      <c r="J115" s="10"/>
      <c r="BW115" s="167"/>
      <c r="BX115" s="174"/>
      <c r="BY115" s="175"/>
    </row>
    <row r="116" spans="1:77" ht="15.6">
      <c r="BW116" s="167"/>
      <c r="BX116" s="174"/>
      <c r="BY116" s="175"/>
    </row>
    <row r="117" spans="1:77" ht="15.6">
      <c r="K117" s="10"/>
      <c r="L117" s="10"/>
      <c r="M117" s="10"/>
      <c r="N117" s="10"/>
      <c r="AO117" s="10"/>
      <c r="AP117" s="10"/>
      <c r="AQ117" s="10"/>
      <c r="AR117" s="10"/>
      <c r="AS117" s="10"/>
      <c r="AT117" s="10"/>
      <c r="AU117" s="10"/>
      <c r="AV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W117" s="176"/>
      <c r="BX117" s="174"/>
      <c r="BY117" s="175"/>
    </row>
    <row r="118" spans="1:77" ht="15.6">
      <c r="C118" s="10"/>
      <c r="D118" s="10"/>
      <c r="E118" s="10"/>
      <c r="F118" s="10"/>
      <c r="G118" s="10"/>
      <c r="H118" s="10"/>
      <c r="I118" s="10"/>
      <c r="J118" s="10"/>
      <c r="AM118" s="10"/>
      <c r="BW118" s="167"/>
      <c r="BX118" s="174"/>
      <c r="BY118" s="175"/>
    </row>
    <row r="119" spans="1:77" ht="15.6">
      <c r="K119" s="85"/>
      <c r="L119" s="85"/>
      <c r="M119" s="85"/>
      <c r="N119" s="85"/>
      <c r="AM119" s="85"/>
      <c r="AO119" s="85"/>
      <c r="AP119" s="85"/>
      <c r="AQ119" s="85"/>
      <c r="AR119" s="85"/>
      <c r="AS119" s="85"/>
      <c r="AT119" s="85"/>
      <c r="AU119" s="85"/>
      <c r="AV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W119" s="182"/>
      <c r="BX119" s="174"/>
      <c r="BY119" s="175"/>
    </row>
    <row r="120" spans="1:77" ht="15.6">
      <c r="A120" s="10"/>
      <c r="C120" s="85"/>
      <c r="D120" s="85"/>
      <c r="E120" s="85"/>
      <c r="F120" s="85"/>
      <c r="G120" s="85"/>
      <c r="H120" s="85"/>
      <c r="I120" s="85"/>
      <c r="J120" s="85"/>
      <c r="BW120" s="167"/>
      <c r="BX120" s="174"/>
      <c r="BY120" s="175"/>
    </row>
    <row r="121" spans="1:77" ht="15.6">
      <c r="A121" s="85"/>
      <c r="BW121" s="167"/>
      <c r="BX121" s="174"/>
      <c r="BY121" s="175"/>
    </row>
    <row r="122" spans="1:77" ht="15.6">
      <c r="BW122" s="167"/>
      <c r="BX122" s="174"/>
      <c r="BY122" s="175"/>
    </row>
    <row r="123" spans="1:77" ht="15.6">
      <c r="BW123" s="167"/>
      <c r="BX123" s="174"/>
      <c r="BY123" s="175"/>
    </row>
    <row r="124" spans="1:77" ht="15.6">
      <c r="BW124" s="167"/>
      <c r="BX124" s="174"/>
      <c r="BY124" s="175"/>
    </row>
    <row r="125" spans="1:77" ht="15.6">
      <c r="BW125" s="167"/>
      <c r="BX125" s="174"/>
      <c r="BY125" s="175"/>
    </row>
    <row r="126" spans="1:77" ht="15.6">
      <c r="BW126" s="167"/>
      <c r="BX126" s="174"/>
      <c r="BY126" s="175"/>
    </row>
    <row r="127" spans="1:77" ht="15.6">
      <c r="K127" s="10"/>
      <c r="L127" s="10"/>
      <c r="M127" s="10"/>
      <c r="N127" s="10"/>
      <c r="AO127" s="10"/>
      <c r="AP127" s="10"/>
      <c r="AQ127" s="10"/>
      <c r="AR127" s="10"/>
      <c r="AS127" s="10"/>
      <c r="AT127" s="10"/>
      <c r="AU127" s="10"/>
      <c r="AV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W127" s="176"/>
      <c r="BX127" s="174"/>
      <c r="BY127" s="175"/>
    </row>
    <row r="128" spans="1:77" ht="15.6">
      <c r="C128" s="10"/>
      <c r="D128" s="10"/>
      <c r="E128" s="10"/>
      <c r="F128" s="10"/>
      <c r="G128" s="10"/>
      <c r="H128" s="10"/>
      <c r="I128" s="10"/>
      <c r="J128" s="10"/>
      <c r="AM128" s="10"/>
      <c r="BW128" s="167"/>
      <c r="BX128" s="174"/>
      <c r="BY128" s="175"/>
    </row>
    <row r="129" spans="1:77" ht="15.6">
      <c r="K129" s="85"/>
      <c r="L129" s="85"/>
      <c r="M129" s="85"/>
      <c r="N129" s="85"/>
      <c r="AM129" s="85"/>
      <c r="AO129" s="85"/>
      <c r="AP129" s="85"/>
      <c r="AQ129" s="85"/>
      <c r="AR129" s="85"/>
      <c r="AS129" s="85"/>
      <c r="AT129" s="85"/>
      <c r="AU129" s="85"/>
      <c r="AV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W129" s="182"/>
      <c r="BX129" s="174"/>
      <c r="BY129" s="175"/>
    </row>
    <row r="130" spans="1:77" ht="15.6">
      <c r="A130" s="10"/>
      <c r="C130" s="85"/>
      <c r="D130" s="85"/>
      <c r="E130" s="85"/>
      <c r="F130" s="85"/>
      <c r="G130" s="85"/>
      <c r="H130" s="85"/>
      <c r="I130" s="85"/>
      <c r="J130" s="85"/>
      <c r="BW130" s="167"/>
      <c r="BX130" s="174"/>
      <c r="BY130" s="175"/>
    </row>
    <row r="131" spans="1:77" ht="15.6">
      <c r="A131" s="85"/>
      <c r="BW131" s="167"/>
      <c r="BX131" s="174"/>
      <c r="BY131" s="175"/>
    </row>
    <row r="132" spans="1:77" ht="15.6"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63"/>
      <c r="BX132" s="191"/>
      <c r="BY132" s="192"/>
    </row>
    <row r="133" spans="1:77" ht="15.6"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AI133" s="18"/>
      <c r="AJ133" s="18"/>
      <c r="BW133" s="167"/>
      <c r="BX133" s="174"/>
      <c r="BY133" s="175"/>
    </row>
    <row r="134" spans="1:77" ht="15.6">
      <c r="A134" s="18"/>
      <c r="B134" s="17"/>
      <c r="BX134" s="174"/>
      <c r="BY134" s="174"/>
    </row>
    <row r="135" spans="1:77">
      <c r="AM135" s="10"/>
      <c r="BX135" s="174"/>
      <c r="BY135" s="174"/>
    </row>
    <row r="136" spans="1:77">
      <c r="AM136" s="10"/>
      <c r="BX136" s="174"/>
      <c r="BY136" s="174"/>
    </row>
    <row r="137" spans="1:77">
      <c r="A137" s="10"/>
      <c r="AM137" s="10"/>
      <c r="BX137" s="174"/>
      <c r="BY137" s="174"/>
    </row>
    <row r="138" spans="1:77">
      <c r="A138" s="10"/>
      <c r="AM138" s="10"/>
      <c r="BX138" s="174"/>
      <c r="BY138" s="174"/>
    </row>
    <row r="139" spans="1:77">
      <c r="A139" s="10"/>
      <c r="AM139" s="10"/>
      <c r="BX139" s="174"/>
      <c r="BY139" s="174"/>
    </row>
    <row r="140" spans="1:77">
      <c r="A140" s="10"/>
      <c r="BX140" s="174"/>
      <c r="BY140" s="174"/>
    </row>
    <row r="141" spans="1:77">
      <c r="A141" s="10"/>
      <c r="AM141" s="10"/>
      <c r="BX141" s="174"/>
      <c r="BY141" s="174"/>
    </row>
    <row r="142" spans="1:77">
      <c r="AM142" s="10"/>
      <c r="BX142" s="174"/>
      <c r="BY142" s="174"/>
    </row>
    <row r="143" spans="1:77">
      <c r="A143" s="10"/>
      <c r="AM143" s="10"/>
      <c r="BX143" s="174"/>
      <c r="BY143" s="174"/>
    </row>
    <row r="144" spans="1:77">
      <c r="A144" s="10"/>
      <c r="AM144" s="10"/>
      <c r="BX144" s="174"/>
      <c r="BY144" s="174"/>
    </row>
    <row r="145" spans="1:77">
      <c r="A145" s="10"/>
      <c r="BX145" s="174"/>
      <c r="BY145" s="174"/>
    </row>
    <row r="146" spans="1:77">
      <c r="A146" s="10"/>
      <c r="AM146" s="10"/>
      <c r="BX146" s="174"/>
      <c r="BY146" s="174"/>
    </row>
    <row r="147" spans="1:77">
      <c r="AM147" s="10"/>
      <c r="BX147" s="174"/>
      <c r="BY147" s="174"/>
    </row>
    <row r="148" spans="1:77">
      <c r="A148" s="10"/>
      <c r="AM148" s="10"/>
      <c r="BX148" s="174"/>
      <c r="BY148" s="174"/>
    </row>
    <row r="149" spans="1:77">
      <c r="A149" s="10"/>
      <c r="BX149" s="174"/>
      <c r="BY149" s="174"/>
    </row>
    <row r="150" spans="1:77">
      <c r="A150" s="10"/>
      <c r="BX150" s="174"/>
      <c r="BY150" s="174"/>
    </row>
    <row r="151" spans="1:77">
      <c r="BX151" s="174"/>
      <c r="BY151" s="174"/>
    </row>
    <row r="152" spans="1:77">
      <c r="BX152" s="174"/>
      <c r="BY152" s="174"/>
    </row>
    <row r="153" spans="1:77">
      <c r="AM153" s="85"/>
      <c r="AO153" s="85"/>
      <c r="AP153" s="85"/>
      <c r="AQ153" s="85"/>
      <c r="AR153" s="85"/>
      <c r="AS153" s="85"/>
      <c r="AT153" s="85"/>
      <c r="AU153" s="85"/>
      <c r="AV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O153" s="85"/>
      <c r="BP153" s="85"/>
      <c r="BX153" s="174"/>
      <c r="BY153" s="174"/>
    </row>
    <row r="154" spans="1:77">
      <c r="G154" s="85"/>
      <c r="H154" s="85"/>
      <c r="AM154" s="10"/>
      <c r="BX154" s="174"/>
      <c r="BY154" s="174"/>
    </row>
    <row r="155" spans="1:77">
      <c r="A155" s="85"/>
      <c r="BX155" s="174"/>
      <c r="BY155" s="174"/>
    </row>
    <row r="156" spans="1:77">
      <c r="A156" s="10"/>
      <c r="AM156" s="10"/>
      <c r="BX156" s="174"/>
      <c r="BY156" s="174"/>
    </row>
    <row r="157" spans="1:77">
      <c r="BX157" s="174"/>
      <c r="BY157" s="174"/>
    </row>
    <row r="158" spans="1:77">
      <c r="A158" s="10"/>
      <c r="BX158" s="174"/>
      <c r="BY158" s="174"/>
    </row>
    <row r="159" spans="1:77">
      <c r="BX159" s="174"/>
      <c r="BY159" s="174"/>
    </row>
    <row r="160" spans="1:77">
      <c r="BX160" s="174"/>
      <c r="BY160" s="174"/>
    </row>
    <row r="161" spans="1:77">
      <c r="BX161" s="174"/>
      <c r="BY161" s="174"/>
    </row>
    <row r="162" spans="1:77">
      <c r="BX162" s="174"/>
      <c r="BY162" s="174"/>
    </row>
    <row r="163" spans="1:77">
      <c r="AM163" s="10"/>
      <c r="BX163" s="174"/>
      <c r="BY163" s="174"/>
    </row>
    <row r="164" spans="1:77">
      <c r="BX164" s="174"/>
      <c r="BY164" s="174"/>
    </row>
    <row r="165" spans="1:77">
      <c r="A165" s="10"/>
      <c r="AM165" s="85"/>
      <c r="AO165" s="85"/>
      <c r="AP165" s="85"/>
      <c r="AQ165" s="85"/>
      <c r="AR165" s="85"/>
      <c r="AS165" s="85"/>
      <c r="AT165" s="85"/>
      <c r="AU165" s="85"/>
      <c r="AV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X165" s="174"/>
      <c r="BY165" s="174"/>
    </row>
    <row r="166" spans="1:77">
      <c r="C166" s="85"/>
      <c r="AP166" s="9"/>
      <c r="AQ166" s="9"/>
      <c r="AR166" s="9"/>
      <c r="AS166" s="9"/>
      <c r="AT166" s="9"/>
      <c r="AU166" s="9"/>
      <c r="AV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X166" s="174"/>
      <c r="BY166" s="174"/>
    </row>
    <row r="167" spans="1:77">
      <c r="A167" s="85"/>
      <c r="C167" s="9"/>
      <c r="BJ167" s="9"/>
      <c r="BK167" s="9"/>
      <c r="BX167" s="174"/>
      <c r="BY167" s="174"/>
    </row>
    <row r="168" spans="1:77">
      <c r="C168" s="9"/>
      <c r="AM168" s="85"/>
      <c r="AO168" s="85"/>
      <c r="AP168" s="85"/>
      <c r="AQ168" s="85"/>
      <c r="AR168" s="85"/>
      <c r="AS168" s="85"/>
      <c r="AT168" s="85"/>
      <c r="AU168" s="85"/>
      <c r="AV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X168" s="174"/>
      <c r="BY168" s="174"/>
    </row>
    <row r="169" spans="1:77">
      <c r="C169" s="85"/>
      <c r="BX169" s="174"/>
      <c r="BY169" s="174"/>
    </row>
    <row r="170" spans="1:77">
      <c r="A170" s="85"/>
      <c r="BH170" s="10"/>
      <c r="BI170" s="10"/>
      <c r="BJ170" s="10"/>
      <c r="BK170" s="10"/>
      <c r="BX170" s="174"/>
      <c r="BY170" s="174"/>
    </row>
    <row r="171" spans="1:77">
      <c r="C171" s="10"/>
      <c r="BX171" s="174"/>
      <c r="BY171" s="174"/>
    </row>
    <row r="172" spans="1:77">
      <c r="BX172" s="174"/>
      <c r="BY172" s="174"/>
    </row>
    <row r="173" spans="1:77">
      <c r="O173" s="9"/>
      <c r="P173" s="9"/>
      <c r="Q173" s="9"/>
      <c r="R173" s="9"/>
      <c r="S173" s="9"/>
      <c r="T173" s="9"/>
      <c r="U173" s="9"/>
      <c r="V173" s="9"/>
      <c r="W173" s="9"/>
      <c r="BH173" s="10"/>
      <c r="BI173" s="10"/>
      <c r="BJ173" s="10"/>
      <c r="BK173" s="10"/>
      <c r="BX173" s="174"/>
      <c r="BY173" s="174"/>
    </row>
    <row r="174" spans="1:77">
      <c r="C174" s="10"/>
      <c r="O174" s="9"/>
      <c r="P174" s="9"/>
      <c r="Q174" s="9"/>
      <c r="R174" s="9"/>
      <c r="S174" s="9"/>
      <c r="T174" s="9"/>
      <c r="U174" s="9"/>
      <c r="V174" s="9"/>
      <c r="W174" s="9"/>
      <c r="BH174" s="10"/>
      <c r="BI174" s="10"/>
      <c r="BJ174" s="10"/>
      <c r="BK174" s="10"/>
      <c r="BX174" s="174"/>
      <c r="BY174" s="174"/>
    </row>
    <row r="175" spans="1:77">
      <c r="C175" s="10"/>
      <c r="O175" s="56"/>
      <c r="P175" s="56"/>
      <c r="Q175" s="56"/>
      <c r="R175" s="56"/>
      <c r="S175" s="56"/>
      <c r="T175" s="56"/>
      <c r="U175" s="56"/>
      <c r="V175" s="56"/>
      <c r="W175" s="56"/>
      <c r="BH175" s="10"/>
      <c r="BI175" s="10"/>
      <c r="BJ175" s="10"/>
      <c r="BK175" s="10"/>
      <c r="BX175" s="174"/>
      <c r="BY175" s="174"/>
    </row>
    <row r="176" spans="1:77">
      <c r="C176" s="10"/>
      <c r="BH176" s="10"/>
      <c r="BI176" s="10"/>
      <c r="BJ176" s="10"/>
      <c r="BK176" s="10"/>
      <c r="BX176" s="174"/>
      <c r="BY176" s="174"/>
    </row>
    <row r="177" spans="1:77">
      <c r="C177" s="10"/>
      <c r="BH177" s="10"/>
      <c r="BI177" s="10"/>
      <c r="BJ177" s="10"/>
      <c r="BK177" s="10"/>
      <c r="BX177" s="174"/>
      <c r="BY177" s="174"/>
    </row>
    <row r="178" spans="1:77">
      <c r="C178" s="10"/>
      <c r="BH178" s="10"/>
      <c r="BX178" s="174"/>
      <c r="BY178" s="174"/>
    </row>
    <row r="179" spans="1:77">
      <c r="BX179" s="174"/>
      <c r="BY179" s="174"/>
    </row>
    <row r="180" spans="1:77">
      <c r="BX180" s="174"/>
      <c r="BY180" s="174"/>
    </row>
    <row r="181" spans="1:77">
      <c r="BH181" s="10"/>
      <c r="BI181" s="10"/>
      <c r="BJ181" s="10"/>
      <c r="BK181" s="10"/>
      <c r="BX181" s="174"/>
      <c r="BY181" s="174"/>
    </row>
    <row r="182" spans="1:77">
      <c r="C182" s="10"/>
      <c r="BH182" s="10"/>
      <c r="BI182" s="10"/>
      <c r="BJ182" s="10"/>
      <c r="BK182" s="10"/>
      <c r="BX182" s="174"/>
      <c r="BY182" s="174"/>
    </row>
    <row r="183" spans="1:77">
      <c r="C183" s="10"/>
      <c r="AO183" s="10"/>
      <c r="AP183" s="10"/>
      <c r="AQ183" s="10"/>
      <c r="AR183" s="10"/>
      <c r="AS183" s="10"/>
      <c r="AT183" s="10"/>
      <c r="AU183" s="10"/>
      <c r="AV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X183" s="174"/>
      <c r="BY183" s="174"/>
    </row>
    <row r="184" spans="1:77">
      <c r="C184" s="10"/>
      <c r="AM184" s="10"/>
      <c r="BX184" s="174"/>
      <c r="BY184" s="174"/>
    </row>
    <row r="185" spans="1:77">
      <c r="AM185" s="85"/>
      <c r="AO185" s="85"/>
      <c r="AP185" s="85"/>
      <c r="AQ185" s="85"/>
      <c r="AR185" s="85"/>
      <c r="AS185" s="85"/>
      <c r="AT185" s="85"/>
      <c r="AU185" s="85"/>
      <c r="AV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X185" s="174"/>
      <c r="BY185" s="174"/>
    </row>
    <row r="186" spans="1:77">
      <c r="A186" s="10"/>
      <c r="C186" s="85"/>
      <c r="BX186" s="174"/>
      <c r="BY186" s="174"/>
    </row>
    <row r="187" spans="1:77">
      <c r="A187" s="85"/>
      <c r="BX187" s="174"/>
      <c r="BY187" s="174"/>
    </row>
    <row r="188" spans="1:77">
      <c r="BX188" s="174"/>
      <c r="BY188" s="174"/>
    </row>
    <row r="189" spans="1:77">
      <c r="BX189" s="174"/>
      <c r="BY189" s="174"/>
    </row>
    <row r="190" spans="1:77">
      <c r="BX190" s="174"/>
      <c r="BY190" s="174"/>
    </row>
    <row r="191" spans="1:77">
      <c r="BX191" s="174"/>
      <c r="BY191" s="174"/>
    </row>
    <row r="192" spans="1:77">
      <c r="BX192" s="174"/>
      <c r="BY192" s="174"/>
    </row>
    <row r="193" spans="1:77">
      <c r="BX193" s="174"/>
      <c r="BY193" s="174"/>
    </row>
    <row r="194" spans="1:77">
      <c r="O194" s="10"/>
      <c r="P194" s="10"/>
      <c r="Q194" s="10"/>
      <c r="R194" s="10"/>
      <c r="S194" s="10"/>
      <c r="T194" s="10"/>
      <c r="U194" s="10"/>
      <c r="V194" s="10"/>
      <c r="W194" s="10"/>
      <c r="BX194" s="174"/>
      <c r="BY194" s="174"/>
    </row>
    <row r="195" spans="1:77">
      <c r="BX195" s="174"/>
      <c r="BY195" s="174"/>
    </row>
    <row r="196" spans="1:77">
      <c r="O196" s="85"/>
      <c r="P196" s="85"/>
      <c r="Q196" s="85"/>
      <c r="R196" s="85"/>
      <c r="S196" s="85"/>
      <c r="T196" s="85"/>
      <c r="U196" s="85"/>
      <c r="V196" s="85"/>
      <c r="W196" s="85"/>
      <c r="AM196" s="85"/>
      <c r="AO196" s="85"/>
      <c r="AP196" s="85"/>
      <c r="AQ196" s="85"/>
      <c r="AR196" s="85"/>
      <c r="AS196" s="85"/>
      <c r="AT196" s="85"/>
      <c r="AU196" s="85"/>
      <c r="AV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X196" s="174"/>
      <c r="BY196" s="174"/>
    </row>
    <row r="197" spans="1:77">
      <c r="BX197" s="174"/>
      <c r="BY197" s="174"/>
    </row>
    <row r="198" spans="1:77" ht="16.8">
      <c r="A198" s="85"/>
      <c r="AM198" s="112"/>
      <c r="BX198" s="174"/>
      <c r="BY198" s="174"/>
    </row>
    <row r="199" spans="1:77" ht="16.8">
      <c r="AM199" s="112"/>
      <c r="BX199" s="174"/>
      <c r="BY199" s="174"/>
    </row>
    <row r="200" spans="1:77" ht="16.8">
      <c r="A200" s="112"/>
      <c r="B200" s="14"/>
      <c r="BX200" s="174"/>
      <c r="BY200" s="174"/>
    </row>
    <row r="201" spans="1:77" ht="16.8">
      <c r="A201" s="112"/>
      <c r="B201" s="14"/>
      <c r="BX201" s="174"/>
      <c r="BY201" s="174"/>
    </row>
    <row r="202" spans="1:77" ht="15.6">
      <c r="AM202" s="18"/>
      <c r="BX202" s="174"/>
      <c r="BY202" s="174"/>
    </row>
    <row r="203" spans="1:77" ht="15.6">
      <c r="AM203" s="18"/>
      <c r="BX203" s="174"/>
      <c r="BY203" s="174"/>
    </row>
    <row r="204" spans="1:77" ht="15.6">
      <c r="A204" s="18"/>
      <c r="B204" s="17"/>
      <c r="AM204" s="113"/>
      <c r="BX204" s="174"/>
      <c r="BY204" s="174"/>
    </row>
    <row r="205" spans="1:77" ht="15.6">
      <c r="A205" s="18"/>
      <c r="B205" s="17"/>
      <c r="BX205" s="174"/>
      <c r="BY205" s="174"/>
    </row>
    <row r="206" spans="1:77" ht="15.6">
      <c r="A206" s="113"/>
      <c r="B206" s="114"/>
      <c r="BX206" s="174"/>
      <c r="BY206" s="174"/>
    </row>
    <row r="207" spans="1:77">
      <c r="AW207" s="10"/>
      <c r="BA207" s="10"/>
      <c r="BL207" s="10"/>
      <c r="BX207" s="174"/>
    </row>
    <row r="208" spans="1:77" ht="15.6">
      <c r="D208" s="10"/>
      <c r="AM208" s="85"/>
      <c r="AO208" s="85"/>
      <c r="AP208" s="85"/>
      <c r="AQ208" s="85"/>
      <c r="AR208" s="85"/>
      <c r="AS208" s="85"/>
      <c r="AT208" s="85"/>
      <c r="AU208" s="85"/>
      <c r="AV208" s="85"/>
      <c r="AW208" s="10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W208" s="163"/>
      <c r="BX208" s="163"/>
      <c r="BY208" s="164"/>
    </row>
    <row r="209" spans="1:77" ht="16.8"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AP209" s="9"/>
      <c r="AQ209" s="9"/>
      <c r="AR209" s="9"/>
      <c r="AS209" s="9"/>
      <c r="AT209" s="9"/>
      <c r="AU209" s="9"/>
      <c r="AV209" s="9"/>
      <c r="AW209" s="10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193"/>
      <c r="BW209" s="165"/>
      <c r="BY209" s="166"/>
    </row>
    <row r="210" spans="1:77" ht="15.6">
      <c r="A210" s="85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10"/>
      <c r="P210" s="10"/>
      <c r="Q210" s="10"/>
      <c r="R210" s="10"/>
      <c r="S210" s="10"/>
      <c r="T210" s="10"/>
      <c r="U210" s="10"/>
      <c r="V210" s="10"/>
      <c r="W210" s="10"/>
      <c r="AO210" s="10"/>
      <c r="AW210" s="10"/>
      <c r="BU210" s="9"/>
      <c r="BV210" s="9"/>
      <c r="BW210" s="167"/>
      <c r="BY210" s="166"/>
    </row>
    <row r="211" spans="1:77" ht="15.6">
      <c r="M211" s="9"/>
      <c r="N211" s="9"/>
      <c r="BL211" s="117"/>
      <c r="BM211" s="117"/>
      <c r="BN211" s="117"/>
      <c r="BO211" s="117"/>
      <c r="BP211" s="117"/>
      <c r="BQ211" s="117"/>
      <c r="BR211" s="117"/>
      <c r="BS211" s="117"/>
      <c r="BT211" s="117"/>
      <c r="BU211" s="117"/>
      <c r="BV211" s="117"/>
      <c r="BW211" s="163"/>
      <c r="BX211" s="118"/>
      <c r="BY211" s="170"/>
    </row>
    <row r="212" spans="1:77"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85"/>
      <c r="P212" s="85"/>
      <c r="Q212" s="85"/>
      <c r="R212" s="85"/>
      <c r="S212" s="85"/>
      <c r="T212" s="85"/>
      <c r="U212" s="85"/>
      <c r="V212" s="85"/>
      <c r="W212" s="85"/>
      <c r="BW212" s="167"/>
      <c r="BX212" s="174"/>
      <c r="BY212" s="174"/>
    </row>
    <row r="213" spans="1:77" ht="15.6">
      <c r="BW213" s="167"/>
      <c r="BX213" s="174"/>
      <c r="BY213" s="175"/>
    </row>
    <row r="214" spans="1:77" ht="15.6">
      <c r="BW214" s="167"/>
      <c r="BX214" s="174"/>
      <c r="BY214" s="175"/>
    </row>
    <row r="215" spans="1:77" ht="15.6">
      <c r="BW215" s="167"/>
      <c r="BX215" s="174"/>
      <c r="BY215" s="175"/>
    </row>
    <row r="216" spans="1:77" ht="15.6">
      <c r="BW216" s="167"/>
      <c r="BX216" s="174"/>
      <c r="BY216" s="175"/>
    </row>
    <row r="217" spans="1:77" ht="15.6">
      <c r="BW217" s="167"/>
      <c r="BX217" s="174"/>
      <c r="BY217" s="175"/>
    </row>
    <row r="218" spans="1:77" ht="15.6">
      <c r="BW218" s="167"/>
      <c r="BX218" s="174"/>
      <c r="BY218" s="175"/>
    </row>
    <row r="219" spans="1:77" ht="15.6">
      <c r="BW219" s="167"/>
      <c r="BY219" s="173"/>
    </row>
    <row r="220" spans="1:77" ht="15.6">
      <c r="O220" s="10"/>
      <c r="P220" s="10"/>
      <c r="Q220" s="10"/>
      <c r="R220" s="10"/>
      <c r="S220" s="10"/>
      <c r="T220" s="10"/>
      <c r="U220" s="10"/>
      <c r="V220" s="10"/>
      <c r="W220" s="10"/>
      <c r="BW220" s="167"/>
      <c r="BX220" s="174"/>
      <c r="BY220" s="175"/>
    </row>
    <row r="221" spans="1:77" ht="15.6">
      <c r="BW221" s="167"/>
      <c r="BX221" s="174"/>
      <c r="BY221" s="175"/>
    </row>
    <row r="222" spans="1:77" ht="15.6">
      <c r="O222" s="85"/>
      <c r="P222" s="85"/>
      <c r="Q222" s="85"/>
      <c r="R222" s="85"/>
      <c r="S222" s="85"/>
      <c r="T222" s="85"/>
      <c r="U222" s="85"/>
      <c r="V222" s="85"/>
      <c r="W222" s="85"/>
      <c r="BW222" s="167"/>
      <c r="BX222" s="174"/>
      <c r="BY222" s="175"/>
    </row>
    <row r="223" spans="1:77" ht="15.6">
      <c r="BW223" s="167"/>
      <c r="BX223" s="174"/>
      <c r="BY223" s="175"/>
    </row>
    <row r="224" spans="1:77" ht="15.6">
      <c r="BW224" s="167"/>
      <c r="BX224" s="174"/>
      <c r="BY224" s="175"/>
    </row>
    <row r="225" spans="1:77" ht="15.6">
      <c r="O225" s="18"/>
      <c r="P225" s="18"/>
      <c r="Q225" s="18"/>
      <c r="R225" s="18"/>
      <c r="S225" s="18"/>
      <c r="T225" s="18"/>
      <c r="U225" s="18"/>
      <c r="V225" s="18"/>
      <c r="W225" s="18"/>
      <c r="BW225" s="167"/>
      <c r="BX225" s="174"/>
      <c r="BY225" s="175"/>
    </row>
    <row r="226" spans="1:77" ht="15.6">
      <c r="BW226" s="167"/>
      <c r="BX226" s="174"/>
      <c r="BY226" s="175"/>
    </row>
    <row r="227" spans="1:77" ht="15.6">
      <c r="BW227" s="167"/>
      <c r="BX227" s="174"/>
      <c r="BY227" s="175"/>
    </row>
    <row r="228" spans="1:77" ht="15.6">
      <c r="BW228" s="167"/>
      <c r="BX228" s="174"/>
      <c r="BY228" s="175"/>
    </row>
    <row r="229" spans="1:77" ht="15.6">
      <c r="AO229" s="10"/>
      <c r="AP229" s="10"/>
      <c r="AQ229" s="10"/>
      <c r="AR229" s="10"/>
      <c r="AS229" s="10"/>
      <c r="AT229" s="10"/>
      <c r="AU229" s="10"/>
      <c r="AV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76"/>
      <c r="BX229" s="174"/>
      <c r="BY229" s="175"/>
    </row>
    <row r="230" spans="1:77" ht="15.6"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AM230" s="10"/>
      <c r="BW230" s="167"/>
      <c r="BX230" s="174"/>
      <c r="BY230" s="175"/>
    </row>
    <row r="231" spans="1:77" ht="15.6">
      <c r="AM231" s="85"/>
      <c r="AO231" s="85"/>
      <c r="AP231" s="85"/>
      <c r="AQ231" s="85"/>
      <c r="AR231" s="85"/>
      <c r="AS231" s="85"/>
      <c r="AT231" s="85"/>
      <c r="AU231" s="85"/>
      <c r="AV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182"/>
      <c r="BX231" s="174"/>
      <c r="BY231" s="175"/>
    </row>
    <row r="232" spans="1:77" ht="15.6">
      <c r="A232" s="10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BW232" s="167"/>
      <c r="BX232" s="174"/>
      <c r="BY232" s="175"/>
    </row>
    <row r="233" spans="1:77" ht="15.6">
      <c r="A233" s="85"/>
      <c r="BW233" s="167"/>
      <c r="BX233" s="174"/>
      <c r="BY233" s="175"/>
    </row>
    <row r="234" spans="1:77" ht="15.6">
      <c r="BW234" s="167"/>
      <c r="BX234" s="174"/>
      <c r="BY234" s="175"/>
    </row>
    <row r="235" spans="1:77" ht="15.6">
      <c r="BW235" s="167"/>
      <c r="BX235" s="174"/>
      <c r="BY235" s="175"/>
    </row>
    <row r="236" spans="1:77" ht="15.6">
      <c r="BW236" s="167"/>
      <c r="BX236" s="174"/>
      <c r="BY236" s="175"/>
    </row>
    <row r="237" spans="1:77" ht="15.6">
      <c r="BW237" s="167"/>
      <c r="BX237" s="174"/>
      <c r="BY237" s="175"/>
    </row>
    <row r="238" spans="1:77" ht="15.6">
      <c r="BW238" s="167"/>
      <c r="BX238" s="174"/>
      <c r="BY238" s="175"/>
    </row>
    <row r="239" spans="1:77" ht="15.6">
      <c r="BW239" s="167"/>
      <c r="BX239" s="174"/>
      <c r="BY239" s="175"/>
    </row>
    <row r="240" spans="1:77" ht="15.6">
      <c r="BW240" s="167"/>
      <c r="BX240" s="174"/>
      <c r="BY240" s="175"/>
    </row>
    <row r="241" spans="1:77" ht="15.6">
      <c r="BW241" s="167"/>
      <c r="BX241" s="174"/>
      <c r="BY241" s="175"/>
    </row>
    <row r="242" spans="1:77" ht="15.6">
      <c r="BW242" s="167"/>
      <c r="BX242" s="174"/>
      <c r="BY242" s="175"/>
    </row>
    <row r="243" spans="1:77" ht="15.6">
      <c r="BW243" s="167"/>
      <c r="BX243" s="174"/>
      <c r="BY243" s="175"/>
    </row>
    <row r="244" spans="1:77" ht="15.6">
      <c r="O244" s="115"/>
      <c r="P244" s="115"/>
      <c r="Q244" s="115"/>
      <c r="R244" s="115"/>
      <c r="S244" s="115"/>
      <c r="T244" s="115"/>
      <c r="U244" s="115"/>
      <c r="V244" s="115"/>
      <c r="W244" s="115"/>
      <c r="BW244" s="167"/>
      <c r="BX244" s="174"/>
      <c r="BY244" s="175"/>
    </row>
    <row r="245" spans="1:77" ht="15.6">
      <c r="O245" s="9"/>
      <c r="P245" s="9"/>
      <c r="Q245" s="9"/>
      <c r="R245" s="9"/>
      <c r="S245" s="9"/>
      <c r="T245" s="9"/>
      <c r="U245" s="9"/>
      <c r="V245" s="9"/>
      <c r="W245" s="9"/>
      <c r="AO245" s="10"/>
      <c r="AP245" s="10"/>
      <c r="AQ245" s="10"/>
      <c r="AR245" s="10"/>
      <c r="AS245" s="10"/>
      <c r="AT245" s="10"/>
      <c r="AU245" s="10"/>
      <c r="AV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76"/>
      <c r="BX245" s="174"/>
      <c r="BY245" s="175"/>
    </row>
    <row r="246" spans="1:77" ht="15.6"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16"/>
      <c r="P246" s="116"/>
      <c r="Q246" s="116"/>
      <c r="R246" s="116"/>
      <c r="S246" s="116"/>
      <c r="T246" s="116"/>
      <c r="U246" s="116"/>
      <c r="V246" s="116"/>
      <c r="W246" s="116"/>
      <c r="AM246" s="10"/>
      <c r="BW246" s="167"/>
      <c r="BX246" s="174"/>
      <c r="BY246" s="175"/>
    </row>
    <row r="247" spans="1:77" ht="15.6">
      <c r="AM247" s="85"/>
      <c r="AO247" s="85"/>
      <c r="AP247" s="85"/>
      <c r="AQ247" s="85"/>
      <c r="AR247" s="85"/>
      <c r="AS247" s="85"/>
      <c r="AT247" s="85"/>
      <c r="AU247" s="85"/>
      <c r="AV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182"/>
      <c r="BX247" s="174"/>
      <c r="BY247" s="175"/>
    </row>
    <row r="248" spans="1:77" ht="15.6">
      <c r="A248" s="10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BW248" s="167"/>
      <c r="BX248" s="174"/>
      <c r="BY248" s="175"/>
    </row>
    <row r="249" spans="1:77" ht="15.6">
      <c r="A249" s="85"/>
      <c r="BW249" s="167"/>
      <c r="BX249" s="174"/>
      <c r="BY249" s="175"/>
    </row>
    <row r="250" spans="1:77" ht="15.6">
      <c r="BW250" s="167"/>
      <c r="BX250" s="174"/>
      <c r="BY250" s="175"/>
    </row>
    <row r="251" spans="1:77" ht="15.6">
      <c r="BW251" s="167"/>
      <c r="BX251" s="174"/>
      <c r="BY251" s="175"/>
    </row>
    <row r="252" spans="1:77" ht="15.6">
      <c r="BW252" s="167"/>
      <c r="BX252" s="174"/>
      <c r="BY252" s="175"/>
    </row>
    <row r="253" spans="1:77" ht="15.6">
      <c r="BW253" s="167"/>
      <c r="BX253" s="174"/>
      <c r="BY253" s="175"/>
    </row>
    <row r="254" spans="1:77" ht="15.6">
      <c r="BW254" s="167"/>
      <c r="BX254" s="174"/>
      <c r="BY254" s="175"/>
    </row>
    <row r="255" spans="1:77" ht="15.6">
      <c r="AO255" s="10"/>
      <c r="AP255" s="10"/>
      <c r="AQ255" s="10"/>
      <c r="AR255" s="10"/>
      <c r="AS255" s="10"/>
      <c r="AT255" s="10"/>
      <c r="AU255" s="10"/>
      <c r="AV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76"/>
      <c r="BX255" s="174"/>
      <c r="BY255" s="175"/>
    </row>
    <row r="256" spans="1:77" ht="15.6"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AM256" s="10"/>
      <c r="BW256" s="167"/>
      <c r="BX256" s="174"/>
      <c r="BY256" s="175"/>
    </row>
    <row r="257" spans="1:77" ht="15.6">
      <c r="BW257" s="182"/>
      <c r="BX257" s="174"/>
      <c r="BY257" s="175"/>
    </row>
    <row r="258" spans="1:77" ht="15.6">
      <c r="A258" s="10"/>
      <c r="BW258" s="167"/>
      <c r="BX258" s="174"/>
      <c r="BY258" s="175"/>
    </row>
    <row r="259" spans="1:77" ht="15.6"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63"/>
      <c r="BX259" s="191"/>
      <c r="BY259" s="192"/>
    </row>
    <row r="260" spans="1:77" ht="15.6"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AI260" s="18"/>
      <c r="AJ260" s="18"/>
      <c r="BW260" s="163"/>
      <c r="BX260" s="191"/>
      <c r="BY260" s="192"/>
    </row>
    <row r="261" spans="1:77" ht="15.6">
      <c r="A261" s="18"/>
      <c r="B261" s="17"/>
      <c r="BW261" s="167"/>
      <c r="BX261" s="174"/>
      <c r="BY261" s="175"/>
    </row>
    <row r="262" spans="1:77">
      <c r="AM262" s="10"/>
      <c r="BX262" s="174"/>
      <c r="BY262" s="174"/>
    </row>
    <row r="263" spans="1:77">
      <c r="AM263" s="10"/>
      <c r="BX263" s="174"/>
      <c r="BY263" s="174"/>
    </row>
    <row r="264" spans="1:77">
      <c r="A264" s="10"/>
      <c r="BX264" s="174"/>
      <c r="BY264" s="174"/>
    </row>
    <row r="265" spans="1:77">
      <c r="A265" s="10"/>
      <c r="O265" s="10"/>
      <c r="P265" s="10"/>
      <c r="Q265" s="10"/>
      <c r="R265" s="10"/>
      <c r="S265" s="10"/>
      <c r="T265" s="10"/>
      <c r="U265" s="10"/>
      <c r="V265" s="10"/>
      <c r="W265" s="10"/>
      <c r="BX265" s="174"/>
      <c r="BY265" s="174"/>
    </row>
    <row r="266" spans="1:77">
      <c r="BX266" s="174"/>
      <c r="BY266" s="174"/>
    </row>
    <row r="267" spans="1:77">
      <c r="O267" s="85"/>
      <c r="P267" s="85"/>
      <c r="Q267" s="85"/>
      <c r="R267" s="85"/>
      <c r="S267" s="85"/>
      <c r="T267" s="85"/>
      <c r="U267" s="85"/>
      <c r="V267" s="85"/>
      <c r="W267" s="85"/>
      <c r="BX267" s="174"/>
      <c r="BY267" s="174"/>
    </row>
    <row r="268" spans="1:77">
      <c r="BP268" s="85"/>
      <c r="BQ268" s="85"/>
      <c r="BX268" s="174"/>
      <c r="BY268" s="174"/>
    </row>
    <row r="269" spans="1:77">
      <c r="H269" s="85"/>
      <c r="I269" s="85"/>
      <c r="BX269" s="174"/>
      <c r="BY269" s="174"/>
    </row>
    <row r="270" spans="1:77">
      <c r="AM270" s="85"/>
      <c r="AP270" s="85"/>
      <c r="AQ270" s="85"/>
      <c r="AR270" s="85"/>
      <c r="AS270" s="85"/>
      <c r="AT270" s="85"/>
      <c r="AU270" s="85"/>
      <c r="AV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N270" s="85"/>
      <c r="BR270" s="85"/>
      <c r="BS270" s="85"/>
      <c r="BT270" s="85"/>
      <c r="BX270" s="174"/>
      <c r="BY270" s="174"/>
    </row>
    <row r="271" spans="1:77">
      <c r="C271" s="85"/>
      <c r="D271" s="85"/>
      <c r="F271" s="85"/>
      <c r="J271" s="85"/>
      <c r="K271" s="85"/>
      <c r="L271" s="85"/>
      <c r="BX271" s="174"/>
      <c r="BY271" s="174"/>
    </row>
    <row r="272" spans="1:77">
      <c r="A272" s="85"/>
      <c r="AM272" s="10"/>
      <c r="BX272" s="174"/>
      <c r="BY272" s="174"/>
    </row>
    <row r="273" spans="1:77">
      <c r="BX273" s="174"/>
      <c r="BY273" s="174"/>
    </row>
    <row r="274" spans="1:77">
      <c r="A274" s="10"/>
      <c r="BX274" s="174"/>
      <c r="BY274" s="174"/>
    </row>
    <row r="275" spans="1:77">
      <c r="BX275" s="174"/>
      <c r="BY275" s="174"/>
    </row>
    <row r="276" spans="1:77">
      <c r="BX276" s="174"/>
      <c r="BY276" s="174"/>
    </row>
    <row r="277" spans="1:77">
      <c r="BX277" s="174"/>
      <c r="BY277" s="174"/>
    </row>
    <row r="278" spans="1:77">
      <c r="BX278" s="174"/>
      <c r="BY278" s="174"/>
    </row>
    <row r="279" spans="1:77">
      <c r="BX279" s="174"/>
      <c r="BY279" s="174"/>
    </row>
    <row r="280" spans="1:77">
      <c r="BX280" s="174"/>
      <c r="BY280" s="174"/>
    </row>
    <row r="281" spans="1:77">
      <c r="O281" s="10"/>
      <c r="P281" s="10"/>
      <c r="Q281" s="10"/>
      <c r="R281" s="10"/>
      <c r="S281" s="10"/>
      <c r="T281" s="10"/>
      <c r="U281" s="10"/>
      <c r="V281" s="10"/>
      <c r="W281" s="10"/>
      <c r="BX281" s="174"/>
      <c r="BY281" s="174"/>
    </row>
    <row r="282" spans="1:77">
      <c r="BX282" s="174"/>
      <c r="BY282" s="174"/>
    </row>
    <row r="283" spans="1:77">
      <c r="O283" s="85"/>
      <c r="P283" s="85"/>
      <c r="Q283" s="85"/>
      <c r="R283" s="85"/>
      <c r="S283" s="85"/>
      <c r="T283" s="85"/>
      <c r="U283" s="85"/>
      <c r="V283" s="85"/>
      <c r="W283" s="85"/>
      <c r="BX283" s="174"/>
      <c r="BY283" s="174"/>
    </row>
    <row r="284" spans="1:77">
      <c r="BX284" s="174"/>
      <c r="BY284" s="174"/>
    </row>
    <row r="285" spans="1:77">
      <c r="BX285" s="174"/>
      <c r="BY285" s="174"/>
    </row>
    <row r="286" spans="1:77">
      <c r="AP286" s="10"/>
      <c r="AV286" s="85"/>
      <c r="BX286" s="174"/>
      <c r="BY286" s="174"/>
    </row>
    <row r="287" spans="1:77">
      <c r="AV287" s="9"/>
      <c r="BX287" s="174"/>
      <c r="BY287" s="174"/>
    </row>
    <row r="288" spans="1:77">
      <c r="AP288" s="10"/>
      <c r="AT288" s="85"/>
      <c r="AV288" s="9"/>
      <c r="BX288" s="174"/>
      <c r="BY288" s="174"/>
    </row>
    <row r="289" spans="15:77">
      <c r="AP289" s="9"/>
      <c r="AR289" s="85"/>
      <c r="AV289" s="9"/>
      <c r="BX289" s="174"/>
      <c r="BY289" s="174"/>
    </row>
    <row r="290" spans="15:77">
      <c r="AP290" s="10"/>
      <c r="AV290" s="85"/>
      <c r="BX290" s="174"/>
      <c r="BY290" s="174"/>
    </row>
    <row r="291" spans="15:77">
      <c r="O291" s="10"/>
      <c r="P291" s="10"/>
      <c r="Q291" s="10"/>
      <c r="R291" s="10"/>
      <c r="S291" s="10"/>
      <c r="T291" s="10"/>
      <c r="U291" s="10"/>
      <c r="V291" s="10"/>
      <c r="W291" s="10"/>
      <c r="BX291" s="174"/>
      <c r="BY291" s="174"/>
    </row>
    <row r="292" spans="15:77">
      <c r="BX292" s="174"/>
      <c r="BY292" s="174"/>
    </row>
    <row r="293" spans="15:77">
      <c r="O293" s="85"/>
      <c r="P293" s="85"/>
      <c r="Q293" s="85"/>
      <c r="R293" s="85"/>
      <c r="S293" s="85"/>
      <c r="T293" s="85"/>
      <c r="U293" s="85"/>
      <c r="V293" s="85"/>
      <c r="W293" s="85"/>
      <c r="AO293" s="85"/>
      <c r="AP293" s="85"/>
      <c r="AQ293" s="85"/>
      <c r="AR293" s="85"/>
      <c r="AS293" s="85"/>
      <c r="AT293" s="85"/>
      <c r="AU293" s="85"/>
      <c r="AV293" s="85"/>
      <c r="BX293" s="174"/>
      <c r="BY293" s="174"/>
    </row>
    <row r="294" spans="15:77">
      <c r="BX294" s="174"/>
      <c r="BY294" s="174"/>
    </row>
    <row r="295" spans="15:77">
      <c r="BX295" s="174"/>
      <c r="BY295" s="174"/>
    </row>
    <row r="296" spans="15:77" ht="15.6">
      <c r="O296" s="18"/>
      <c r="P296" s="18"/>
      <c r="Q296" s="18"/>
      <c r="R296" s="18"/>
      <c r="S296" s="18"/>
      <c r="T296" s="18"/>
      <c r="U296" s="18"/>
      <c r="V296" s="18"/>
      <c r="W296" s="18"/>
      <c r="AQ296" s="10"/>
      <c r="AR296" s="10"/>
      <c r="BX296" s="174"/>
      <c r="BY296" s="174"/>
    </row>
    <row r="297" spans="15:77">
      <c r="AQ297" s="10"/>
      <c r="AR297" s="10"/>
      <c r="AT297" s="10"/>
      <c r="BX297" s="174"/>
      <c r="BY297" s="174"/>
    </row>
    <row r="298" spans="15:77">
      <c r="AQ298" s="10"/>
      <c r="AR298" s="10"/>
      <c r="BX298" s="174"/>
      <c r="BY298" s="174"/>
    </row>
    <row r="299" spans="15:77">
      <c r="AQ299" s="10"/>
      <c r="AR299" s="10"/>
      <c r="BX299" s="174"/>
      <c r="BY299" s="174"/>
    </row>
    <row r="300" spans="15:77">
      <c r="AT300" s="10"/>
      <c r="BX300" s="174"/>
      <c r="BY300" s="174"/>
    </row>
    <row r="301" spans="15:77">
      <c r="BX301" s="174"/>
      <c r="BY301" s="174"/>
    </row>
    <row r="302" spans="15:77">
      <c r="BX302" s="174"/>
      <c r="BY302" s="174"/>
    </row>
    <row r="303" spans="15:77">
      <c r="BX303" s="174"/>
      <c r="BY303" s="174"/>
    </row>
    <row r="304" spans="15:77">
      <c r="BX304" s="174"/>
      <c r="BY304" s="174"/>
    </row>
    <row r="305" spans="1:77">
      <c r="BX305" s="174"/>
      <c r="BY305" s="174"/>
    </row>
    <row r="306" spans="1:77">
      <c r="BX306" s="174"/>
      <c r="BY306" s="174"/>
    </row>
    <row r="307" spans="1:77">
      <c r="BX307" s="174"/>
      <c r="BY307" s="174"/>
    </row>
    <row r="308" spans="1:77">
      <c r="AM308" s="85"/>
      <c r="AO308" s="85"/>
      <c r="AP308" s="85"/>
      <c r="AQ308" s="85"/>
      <c r="AR308" s="85"/>
      <c r="AS308" s="85"/>
      <c r="AT308" s="85"/>
      <c r="AU308" s="85"/>
      <c r="AV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N308" s="85"/>
      <c r="BQ308" s="85"/>
      <c r="BR308" s="85"/>
      <c r="BX308" s="194"/>
      <c r="BY308" s="174"/>
    </row>
    <row r="309" spans="1:77">
      <c r="C309" s="85"/>
      <c r="D309" s="85"/>
      <c r="F309" s="85"/>
      <c r="I309" s="85"/>
      <c r="J309" s="85"/>
      <c r="BQ309" s="10"/>
      <c r="BX309" s="174"/>
      <c r="BY309" s="174"/>
    </row>
    <row r="310" spans="1:77">
      <c r="A310" s="85"/>
      <c r="I310" s="10"/>
      <c r="BX310" s="174"/>
      <c r="BY310" s="174"/>
    </row>
    <row r="311" spans="1:77">
      <c r="BX311" s="174"/>
      <c r="BY311" s="174"/>
    </row>
    <row r="312" spans="1:77">
      <c r="AM312" s="10"/>
      <c r="BX312" s="174"/>
      <c r="BY312" s="174"/>
    </row>
    <row r="313" spans="1:77">
      <c r="BX313" s="174"/>
      <c r="BY313" s="174"/>
    </row>
    <row r="314" spans="1:77" ht="16.8">
      <c r="A314" s="10"/>
      <c r="AM314" s="112"/>
      <c r="BX314" s="174"/>
      <c r="BY314" s="174"/>
    </row>
    <row r="315" spans="1:77" ht="16.8">
      <c r="AM315" s="112"/>
      <c r="BX315" s="174"/>
      <c r="BY315" s="174"/>
    </row>
    <row r="316" spans="1:77" ht="16.8">
      <c r="A316" s="112"/>
      <c r="B316" s="14"/>
      <c r="BH316" s="10"/>
      <c r="BX316" s="174"/>
      <c r="BY316" s="174"/>
    </row>
    <row r="317" spans="1:77" ht="16.8">
      <c r="A317" s="112"/>
      <c r="B317" s="14"/>
      <c r="AM317" s="118"/>
      <c r="BX317" s="174"/>
      <c r="BY317" s="174"/>
    </row>
    <row r="318" spans="1:77">
      <c r="BX318" s="174"/>
      <c r="BY318" s="174"/>
    </row>
    <row r="319" spans="1:77" ht="15.6">
      <c r="A319" s="118"/>
      <c r="B319" s="17"/>
      <c r="BX319" s="174"/>
      <c r="BY319" s="174"/>
    </row>
    <row r="322" spans="1:77">
      <c r="BK322" s="9"/>
      <c r="BL322" s="9"/>
      <c r="BM322" s="9"/>
      <c r="BX322" s="174"/>
      <c r="BY322" s="174"/>
    </row>
    <row r="323" spans="1:77">
      <c r="C323" s="9"/>
      <c r="D323" s="9"/>
      <c r="E323" s="9"/>
      <c r="AO323" s="9"/>
      <c r="AP323" s="9"/>
      <c r="AQ323" s="9"/>
      <c r="AR323" s="9"/>
      <c r="AS323" s="9"/>
      <c r="AT323" s="9"/>
      <c r="AU323" s="9"/>
      <c r="AV323" s="9"/>
      <c r="AW323" s="10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S323" s="10"/>
      <c r="BT323" s="10"/>
      <c r="BU323" s="10"/>
      <c r="BX323" s="174"/>
      <c r="BY323" s="174"/>
    </row>
    <row r="324" spans="1:77" ht="15.6">
      <c r="K324" s="10"/>
      <c r="L324" s="10"/>
      <c r="M324" s="10"/>
      <c r="N324" s="10"/>
      <c r="AW324" s="10"/>
      <c r="BK324" s="56"/>
      <c r="BL324" s="56"/>
      <c r="BM324" s="56"/>
      <c r="BN324" s="56"/>
      <c r="BO324" s="56"/>
      <c r="BP324" s="56"/>
      <c r="BQ324" s="56"/>
      <c r="BR324" s="56"/>
      <c r="BS324" s="56"/>
      <c r="BT324" s="56"/>
      <c r="BU324" s="56"/>
      <c r="BW324" s="163"/>
      <c r="BX324" s="118"/>
      <c r="BY324" s="170"/>
    </row>
    <row r="325" spans="1:77"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AM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X325" s="174"/>
      <c r="BY325" s="174"/>
    </row>
    <row r="326" spans="1:77"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BX326" s="174"/>
      <c r="BY326" s="174"/>
    </row>
    <row r="327" spans="1:77">
      <c r="A327" s="85"/>
      <c r="BX327" s="174"/>
      <c r="BY327" s="174"/>
    </row>
    <row r="328" spans="1:77">
      <c r="BX328" s="174"/>
      <c r="BY328" s="174"/>
    </row>
    <row r="329" spans="1:77">
      <c r="BX329" s="174"/>
      <c r="BY329" s="174"/>
    </row>
    <row r="330" spans="1:77">
      <c r="BX330" s="174"/>
      <c r="BY330" s="174"/>
    </row>
    <row r="331" spans="1:77">
      <c r="BX331" s="174"/>
      <c r="BY331" s="174"/>
    </row>
    <row r="332" spans="1:77">
      <c r="A332" s="120"/>
      <c r="BX332" s="174"/>
      <c r="BY332" s="174"/>
    </row>
    <row r="333" spans="1:77">
      <c r="A333" s="120"/>
      <c r="BX333" s="174"/>
      <c r="BY333" s="174"/>
    </row>
    <row r="334" spans="1:77">
      <c r="A334" s="120"/>
      <c r="BX334" s="174"/>
      <c r="BY334" s="174"/>
    </row>
    <row r="335" spans="1:77">
      <c r="A335" s="120"/>
      <c r="BX335" s="174"/>
      <c r="BY335" s="174"/>
    </row>
    <row r="336" spans="1:77">
      <c r="A336" s="120"/>
      <c r="BX336" s="174"/>
      <c r="BY336" s="174"/>
    </row>
    <row r="337" spans="1:77" ht="15.6" thickBot="1">
      <c r="A337" s="123"/>
      <c r="BX337" s="174"/>
      <c r="BY337" s="174"/>
    </row>
    <row r="338" spans="1:77" ht="15.6" thickTop="1">
      <c r="AM338" s="10"/>
      <c r="BX338" s="174"/>
      <c r="BY338" s="174"/>
    </row>
    <row r="339" spans="1:77">
      <c r="BX339" s="174"/>
      <c r="BY339" s="174"/>
    </row>
    <row r="340" spans="1:77" ht="15.6">
      <c r="A340" s="10"/>
      <c r="AM340" s="118"/>
      <c r="BY340" s="174"/>
    </row>
    <row r="341" spans="1:77">
      <c r="BY341" s="174"/>
    </row>
    <row r="342" spans="1:77" ht="15.6">
      <c r="A342" s="118"/>
      <c r="B342" s="17"/>
      <c r="BY342" s="174"/>
    </row>
    <row r="343" spans="1:77" ht="15.6" thickBot="1">
      <c r="AO343" s="85"/>
      <c r="AP343" s="85"/>
      <c r="AQ343" s="85"/>
      <c r="AR343" s="85"/>
      <c r="AS343" s="85"/>
      <c r="AT343" s="85"/>
      <c r="AU343" s="85"/>
      <c r="AV343" s="85"/>
      <c r="AW343" s="10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9"/>
      <c r="BL343" s="9"/>
      <c r="BM343" s="9"/>
      <c r="BX343" s="174"/>
      <c r="BY343" s="174"/>
    </row>
    <row r="344" spans="1:77" ht="15.6" thickTop="1">
      <c r="A344" s="126"/>
      <c r="C344" s="9"/>
      <c r="D344" s="9"/>
      <c r="E344" s="9"/>
      <c r="AO344" s="9"/>
      <c r="AP344" s="9"/>
      <c r="AQ344" s="9"/>
      <c r="AR344" s="9"/>
      <c r="AS344" s="9"/>
      <c r="AT344" s="9"/>
      <c r="AU344" s="9"/>
      <c r="AV344" s="9"/>
      <c r="AW344" s="10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S344" s="10"/>
      <c r="BT344" s="10"/>
      <c r="BU344" s="10"/>
      <c r="BX344" s="174"/>
      <c r="BY344" s="174"/>
    </row>
    <row r="345" spans="1:77" ht="15.6">
      <c r="A345" s="120"/>
      <c r="K345" s="10"/>
      <c r="L345" s="10"/>
      <c r="M345" s="10"/>
      <c r="N345" s="10"/>
      <c r="AW345" s="10"/>
      <c r="BK345" s="56"/>
      <c r="BL345" s="56"/>
      <c r="BM345" s="56"/>
      <c r="BN345" s="56"/>
      <c r="BO345" s="56"/>
      <c r="BP345" s="56"/>
      <c r="BQ345" s="56"/>
      <c r="BR345" s="56"/>
      <c r="BS345" s="56"/>
      <c r="BT345" s="56"/>
      <c r="BU345" s="56"/>
      <c r="BW345" s="163"/>
      <c r="BX345" s="118"/>
      <c r="BY345" s="170"/>
    </row>
    <row r="346" spans="1:77">
      <c r="A346" s="120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AM346" s="85"/>
      <c r="AO346" s="85"/>
      <c r="AP346" s="85"/>
      <c r="AQ346" s="85"/>
      <c r="AR346" s="85"/>
      <c r="AS346" s="85"/>
      <c r="AT346" s="85"/>
      <c r="AU346" s="85"/>
      <c r="AV346" s="85"/>
      <c r="AW346" s="10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X346" s="174"/>
      <c r="BY346" s="174"/>
    </row>
    <row r="347" spans="1:77">
      <c r="A347" s="120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</row>
    <row r="348" spans="1:77">
      <c r="A348" s="130"/>
      <c r="BY348" s="174"/>
    </row>
    <row r="349" spans="1:77">
      <c r="A349" s="120"/>
      <c r="BY349" s="174"/>
    </row>
    <row r="350" spans="1:77">
      <c r="A350" s="120"/>
      <c r="BY350" s="174"/>
    </row>
    <row r="351" spans="1:77">
      <c r="A351" s="120"/>
      <c r="BY351" s="174"/>
    </row>
    <row r="352" spans="1:77">
      <c r="A352" s="120"/>
      <c r="BY352" s="174"/>
    </row>
    <row r="353" spans="1:77">
      <c r="A353" s="120"/>
      <c r="BY353" s="174"/>
    </row>
    <row r="354" spans="1:77">
      <c r="A354" s="120"/>
      <c r="BY354" s="174"/>
    </row>
    <row r="355" spans="1:77">
      <c r="A355" s="120"/>
      <c r="BY355" s="174"/>
    </row>
    <row r="356" spans="1:77">
      <c r="A356" s="120"/>
      <c r="BY356" s="174"/>
    </row>
    <row r="357" spans="1:77">
      <c r="A357" s="120"/>
    </row>
    <row r="358" spans="1:77" ht="15.6" thickBot="1">
      <c r="A358" s="123"/>
    </row>
    <row r="359" spans="1:77" ht="15.6" thickTop="1">
      <c r="BY359" s="174"/>
    </row>
    <row r="360" spans="1:77">
      <c r="AM360" s="10"/>
      <c r="BY360" s="174"/>
    </row>
    <row r="362" spans="1:77">
      <c r="A362" s="10"/>
    </row>
    <row r="363" spans="1:77">
      <c r="AM363" s="10"/>
    </row>
    <row r="364" spans="1:77">
      <c r="AM364" s="85"/>
      <c r="AO364" s="85"/>
      <c r="AP364" s="85"/>
      <c r="AQ364" s="85"/>
      <c r="AR364" s="85"/>
      <c r="AS364" s="85"/>
      <c r="AT364" s="85"/>
      <c r="AU364" s="85"/>
      <c r="AV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X364" s="174"/>
      <c r="BY364" s="174"/>
    </row>
    <row r="365" spans="1:77">
      <c r="A365" s="10"/>
      <c r="C365" s="85"/>
      <c r="D365" s="85"/>
      <c r="E365" s="85"/>
      <c r="F365" s="85"/>
      <c r="G365" s="85"/>
      <c r="AO365" s="9"/>
      <c r="AP365" s="9"/>
      <c r="AQ365" s="9"/>
      <c r="AR365" s="9"/>
      <c r="AS365" s="9"/>
      <c r="AT365" s="9"/>
      <c r="AU365" s="9"/>
      <c r="AV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X365" s="174"/>
      <c r="BY365" s="174"/>
    </row>
    <row r="366" spans="1:77">
      <c r="A366" s="85"/>
      <c r="C366" s="9"/>
      <c r="D366" s="9"/>
      <c r="E366" s="9"/>
      <c r="F366" s="9"/>
      <c r="BN366" s="9"/>
      <c r="BO366" s="9"/>
      <c r="BX366" s="174"/>
      <c r="BY366" s="174"/>
    </row>
    <row r="367" spans="1:77">
      <c r="F367" s="9"/>
      <c r="G367" s="9"/>
      <c r="AM367" s="85"/>
      <c r="AO367" s="85"/>
      <c r="AP367" s="85"/>
      <c r="AQ367" s="85"/>
      <c r="AR367" s="85"/>
      <c r="AS367" s="85"/>
      <c r="AT367" s="85"/>
      <c r="AU367" s="85"/>
      <c r="AV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X367" s="174"/>
      <c r="BY367" s="174"/>
    </row>
    <row r="368" spans="1:77"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BX368" s="174"/>
      <c r="BY368" s="174"/>
    </row>
    <row r="369" spans="1:77">
      <c r="A369" s="85"/>
      <c r="BX369" s="174"/>
      <c r="BY369" s="174"/>
    </row>
    <row r="370" spans="1:77">
      <c r="AM370" s="10"/>
      <c r="BX370" s="174"/>
      <c r="BY370" s="174"/>
    </row>
    <row r="371" spans="1:77">
      <c r="BX371" s="174"/>
      <c r="BY371" s="174"/>
    </row>
    <row r="372" spans="1:77">
      <c r="A372" s="10"/>
      <c r="O372" s="85"/>
      <c r="P372" s="85"/>
      <c r="Q372" s="85"/>
      <c r="R372" s="85"/>
      <c r="S372" s="85"/>
      <c r="T372" s="85"/>
      <c r="U372" s="85"/>
      <c r="V372" s="85"/>
      <c r="W372" s="85"/>
      <c r="BX372" s="174"/>
      <c r="BY372" s="174"/>
    </row>
    <row r="373" spans="1:77">
      <c r="O373" s="9"/>
      <c r="P373" s="9"/>
      <c r="Q373" s="9"/>
      <c r="R373" s="9"/>
      <c r="S373" s="9"/>
      <c r="T373" s="9"/>
      <c r="U373" s="9"/>
      <c r="V373" s="9"/>
      <c r="W373" s="9"/>
      <c r="BX373" s="174"/>
      <c r="BY373" s="174"/>
    </row>
    <row r="374" spans="1:77">
      <c r="O374" s="9"/>
      <c r="P374" s="9"/>
      <c r="Q374" s="9"/>
      <c r="R374" s="9"/>
      <c r="S374" s="9"/>
      <c r="T374" s="9"/>
      <c r="U374" s="9"/>
      <c r="V374" s="9"/>
      <c r="W374" s="9"/>
      <c r="AM374" s="10"/>
      <c r="BX374" s="174"/>
      <c r="BY374" s="174"/>
    </row>
    <row r="375" spans="1:77">
      <c r="O375" s="117"/>
      <c r="P375" s="117"/>
      <c r="Q375" s="117"/>
      <c r="R375" s="117"/>
      <c r="S375" s="117"/>
      <c r="T375" s="117"/>
      <c r="U375" s="117"/>
      <c r="V375" s="117"/>
      <c r="W375" s="117"/>
      <c r="BX375" s="174"/>
      <c r="BY375" s="174"/>
    </row>
    <row r="376" spans="1:77">
      <c r="A376" s="10"/>
      <c r="AM376" s="10"/>
      <c r="BX376" s="174"/>
      <c r="BY376" s="174"/>
    </row>
    <row r="377" spans="1:77">
      <c r="BX377" s="174"/>
      <c r="BY377" s="174"/>
    </row>
    <row r="378" spans="1:77">
      <c r="A378" s="10"/>
      <c r="BX378" s="174"/>
      <c r="BY378" s="174"/>
    </row>
    <row r="379" spans="1:77">
      <c r="BX379" s="174"/>
      <c r="BY379" s="174"/>
    </row>
    <row r="380" spans="1:77">
      <c r="BX380" s="174"/>
      <c r="BY380" s="174"/>
    </row>
    <row r="391" spans="1:77">
      <c r="AM391" s="10"/>
    </row>
    <row r="392" spans="1:77">
      <c r="AM392" s="85"/>
      <c r="AO392" s="85"/>
      <c r="AP392" s="85"/>
      <c r="AQ392" s="85"/>
      <c r="AR392" s="85"/>
      <c r="AS392" s="85"/>
      <c r="AT392" s="85"/>
      <c r="AU392" s="85"/>
      <c r="AV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174"/>
    </row>
    <row r="393" spans="1:77">
      <c r="A393" s="10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10"/>
      <c r="P393" s="10"/>
      <c r="Q393" s="10"/>
      <c r="R393" s="10"/>
      <c r="S393" s="10"/>
      <c r="T393" s="10"/>
      <c r="U393" s="10"/>
      <c r="V393" s="10"/>
      <c r="W393" s="10"/>
      <c r="AO393" s="9"/>
      <c r="AP393" s="9"/>
      <c r="AQ393" s="9"/>
      <c r="AR393" s="9"/>
      <c r="AS393" s="9"/>
      <c r="AT393" s="9"/>
      <c r="AU393" s="9"/>
      <c r="AV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Y393" s="174"/>
    </row>
    <row r="394" spans="1:77">
      <c r="A394" s="85"/>
      <c r="C394" s="9"/>
      <c r="D394" s="9"/>
      <c r="E394" s="9"/>
      <c r="F394" s="9"/>
      <c r="BY394" s="174"/>
    </row>
    <row r="395" spans="1:77">
      <c r="O395" s="85"/>
      <c r="P395" s="85"/>
      <c r="Q395" s="85"/>
      <c r="R395" s="85"/>
      <c r="S395" s="85"/>
      <c r="T395" s="85"/>
      <c r="U395" s="85"/>
      <c r="V395" s="85"/>
      <c r="W395" s="85"/>
      <c r="AM395" s="85"/>
      <c r="AO395" s="85"/>
      <c r="AP395" s="85"/>
      <c r="AQ395" s="85"/>
      <c r="AR395" s="85"/>
      <c r="AS395" s="85"/>
      <c r="AT395" s="85"/>
      <c r="AU395" s="85"/>
      <c r="AV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174"/>
    </row>
    <row r="396" spans="1:77"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BY396" s="174"/>
    </row>
    <row r="397" spans="1:77">
      <c r="A397" s="85"/>
      <c r="BY397" s="174"/>
    </row>
    <row r="398" spans="1:77">
      <c r="AM398" s="10"/>
      <c r="BY398" s="174"/>
    </row>
    <row r="399" spans="1:77">
      <c r="BY399" s="174"/>
    </row>
    <row r="400" spans="1:77">
      <c r="A400" s="10"/>
      <c r="BY400" s="174"/>
    </row>
    <row r="401" spans="1:77">
      <c r="BY401" s="174"/>
    </row>
    <row r="402" spans="1:77">
      <c r="AM402" s="10"/>
      <c r="BY402" s="174"/>
    </row>
    <row r="403" spans="1:77">
      <c r="BY403" s="174"/>
    </row>
    <row r="404" spans="1:77">
      <c r="A404" s="10"/>
      <c r="AM404" s="10"/>
      <c r="BY404" s="174"/>
    </row>
    <row r="405" spans="1:77">
      <c r="BY405" s="174"/>
    </row>
    <row r="406" spans="1:77">
      <c r="A406" s="10"/>
      <c r="BY406" s="174"/>
    </row>
    <row r="407" spans="1:77">
      <c r="BY407" s="174"/>
    </row>
    <row r="408" spans="1:77">
      <c r="BY408" s="174"/>
    </row>
    <row r="409" spans="1:77">
      <c r="O409" s="10"/>
      <c r="P409" s="10"/>
      <c r="Q409" s="10"/>
      <c r="R409" s="10"/>
      <c r="S409" s="10"/>
      <c r="T409" s="10"/>
      <c r="U409" s="10"/>
      <c r="V409" s="10"/>
      <c r="W409" s="10"/>
    </row>
    <row r="411" spans="1:77">
      <c r="O411" s="85"/>
      <c r="P411" s="85"/>
      <c r="Q411" s="85"/>
      <c r="R411" s="85"/>
      <c r="S411" s="85"/>
      <c r="T411" s="85"/>
      <c r="U411" s="85"/>
      <c r="V411" s="85"/>
      <c r="W411" s="85"/>
    </row>
    <row r="412" spans="1:77">
      <c r="BY412" s="174"/>
    </row>
    <row r="413" spans="1:77">
      <c r="BY413" s="174"/>
    </row>
    <row r="414" spans="1:77">
      <c r="AM414" s="85"/>
      <c r="AO414" s="85"/>
      <c r="AP414" s="85"/>
      <c r="AQ414" s="85"/>
      <c r="AR414" s="85"/>
      <c r="AS414" s="85"/>
      <c r="AT414" s="85"/>
      <c r="AU414" s="85"/>
      <c r="AV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Y414" s="174"/>
    </row>
    <row r="415" spans="1:77"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AO415" s="9"/>
      <c r="AP415" s="9"/>
      <c r="AQ415" s="9"/>
      <c r="AR415" s="9"/>
      <c r="AS415" s="9"/>
      <c r="AT415" s="9"/>
      <c r="AU415" s="9"/>
      <c r="AV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Y415" s="174"/>
    </row>
    <row r="416" spans="1:77">
      <c r="A416" s="85"/>
      <c r="C416" s="9"/>
      <c r="D416" s="9"/>
      <c r="E416" s="9"/>
      <c r="F416" s="9"/>
      <c r="BR416" s="9"/>
      <c r="BS416" s="9"/>
      <c r="BT416" s="9"/>
      <c r="BU416" s="9"/>
      <c r="BV416" s="9"/>
      <c r="BY416" s="174"/>
    </row>
    <row r="417" spans="1:77">
      <c r="J417" s="9"/>
      <c r="K417" s="9"/>
      <c r="L417" s="9"/>
      <c r="M417" s="9"/>
      <c r="N417" s="9"/>
      <c r="AM417" s="85"/>
      <c r="AO417" s="85"/>
      <c r="AP417" s="85"/>
      <c r="AQ417" s="85"/>
      <c r="AR417" s="85"/>
      <c r="AS417" s="85"/>
      <c r="AT417" s="85"/>
      <c r="AU417" s="85"/>
      <c r="AV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Y417" s="174"/>
    </row>
    <row r="418" spans="1:77"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BY418" s="174"/>
    </row>
    <row r="419" spans="1:77">
      <c r="A419" s="85"/>
      <c r="O419" s="10"/>
      <c r="P419" s="10"/>
      <c r="Q419" s="10"/>
      <c r="R419" s="10"/>
      <c r="S419" s="10"/>
      <c r="T419" s="10"/>
      <c r="U419" s="10"/>
      <c r="V419" s="10"/>
      <c r="W419" s="10"/>
      <c r="AM419" s="10"/>
      <c r="BY419" s="174"/>
    </row>
    <row r="420" spans="1:77">
      <c r="BY420" s="174"/>
    </row>
    <row r="421" spans="1:77">
      <c r="A421" s="10"/>
      <c r="AM421" s="10"/>
      <c r="BY421" s="174"/>
    </row>
    <row r="422" spans="1:77">
      <c r="BY422" s="174"/>
    </row>
    <row r="423" spans="1:77" ht="15.6">
      <c r="A423" s="10"/>
      <c r="O423" s="18"/>
      <c r="P423" s="18"/>
      <c r="Q423" s="18"/>
      <c r="R423" s="18"/>
      <c r="S423" s="18"/>
      <c r="T423" s="18"/>
      <c r="U423" s="18"/>
      <c r="V423" s="18"/>
      <c r="W423" s="18"/>
      <c r="BY423" s="174"/>
    </row>
    <row r="424" spans="1:77">
      <c r="BY424" s="174"/>
    </row>
    <row r="425" spans="1:77">
      <c r="AM425" s="10"/>
      <c r="BY425" s="174"/>
    </row>
    <row r="426" spans="1:77">
      <c r="BY426" s="174"/>
    </row>
    <row r="427" spans="1:77">
      <c r="A427" s="10"/>
      <c r="AM427" s="10"/>
      <c r="BY427" s="174"/>
    </row>
    <row r="428" spans="1:77">
      <c r="BY428" s="174"/>
    </row>
    <row r="429" spans="1:77">
      <c r="A429" s="10"/>
      <c r="BY429" s="174"/>
    </row>
    <row r="430" spans="1:77">
      <c r="BY430" s="174"/>
    </row>
    <row r="431" spans="1:77">
      <c r="BY431" s="174"/>
    </row>
    <row r="432" spans="1:77">
      <c r="BY432" s="174"/>
    </row>
    <row r="433" spans="1:77">
      <c r="BY433" s="174"/>
    </row>
    <row r="434" spans="1:77">
      <c r="AM434" s="10"/>
      <c r="BY434" s="174"/>
    </row>
    <row r="435" spans="1:77">
      <c r="BY435" s="174"/>
    </row>
    <row r="436" spans="1:77">
      <c r="A436" s="10"/>
      <c r="BY436" s="174"/>
    </row>
    <row r="437" spans="1:77">
      <c r="AM437" s="85"/>
      <c r="AO437" s="85"/>
      <c r="AP437" s="85"/>
      <c r="AQ437" s="85"/>
      <c r="AR437" s="85"/>
      <c r="AS437" s="85"/>
      <c r="AT437" s="85"/>
      <c r="AU437" s="85"/>
      <c r="AV437" s="85"/>
      <c r="AW437" s="10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Y437" s="174"/>
    </row>
    <row r="438" spans="1:77">
      <c r="C438" s="85"/>
      <c r="D438" s="85"/>
      <c r="E438" s="85"/>
      <c r="F438" s="85"/>
      <c r="G438" s="85"/>
      <c r="AO438" s="9"/>
      <c r="AP438" s="9"/>
      <c r="AQ438" s="9"/>
      <c r="AR438" s="9"/>
      <c r="AS438" s="9"/>
      <c r="AT438" s="9"/>
      <c r="AU438" s="9"/>
      <c r="AV438" s="9"/>
      <c r="AW438" s="10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Y438" s="174"/>
    </row>
    <row r="439" spans="1:77">
      <c r="A439" s="85"/>
      <c r="C439" s="9"/>
      <c r="D439" s="9"/>
      <c r="E439" s="9"/>
      <c r="F439" s="9"/>
      <c r="G439" s="9"/>
      <c r="AW439" s="10"/>
      <c r="BN439" s="9"/>
      <c r="BO439" s="9"/>
      <c r="BY439" s="174"/>
    </row>
    <row r="440" spans="1:77">
      <c r="F440" s="9"/>
      <c r="G440" s="9"/>
      <c r="AM440" s="85"/>
      <c r="AO440" s="85"/>
      <c r="AP440" s="85"/>
      <c r="AQ440" s="85"/>
      <c r="AR440" s="85"/>
      <c r="AS440" s="85"/>
      <c r="AT440" s="85"/>
      <c r="AU440" s="85"/>
      <c r="AV440" s="85"/>
      <c r="AW440" s="10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Y440" s="174"/>
    </row>
    <row r="441" spans="1:77">
      <c r="C441" s="85"/>
      <c r="D441" s="85"/>
      <c r="E441" s="85"/>
      <c r="F441" s="85"/>
      <c r="G441" s="85"/>
      <c r="BY441" s="174"/>
    </row>
    <row r="442" spans="1:77">
      <c r="A442" s="85"/>
      <c r="BY442" s="174"/>
    </row>
    <row r="443" spans="1:77">
      <c r="BY443" s="174"/>
    </row>
    <row r="444" spans="1:77">
      <c r="BY444" s="174"/>
    </row>
    <row r="445" spans="1:77">
      <c r="BY445" s="174"/>
    </row>
    <row r="446" spans="1:77">
      <c r="BY446" s="174"/>
    </row>
    <row r="447" spans="1:77">
      <c r="BY447" s="174"/>
    </row>
    <row r="448" spans="1:77">
      <c r="BY448" s="174"/>
    </row>
    <row r="449" spans="1:77">
      <c r="BY449" s="174"/>
    </row>
    <row r="450" spans="1:77">
      <c r="BY450" s="174"/>
    </row>
    <row r="451" spans="1:77">
      <c r="BY451" s="174"/>
    </row>
    <row r="452" spans="1:77">
      <c r="BY452" s="174"/>
    </row>
    <row r="453" spans="1:77">
      <c r="BY453" s="174"/>
    </row>
    <row r="454" spans="1:77">
      <c r="AM454" s="85"/>
      <c r="AO454" s="85"/>
      <c r="AP454" s="85"/>
      <c r="AQ454" s="85"/>
      <c r="AR454" s="85"/>
      <c r="AS454" s="85"/>
      <c r="AT454" s="85"/>
      <c r="AU454" s="85"/>
      <c r="AV454" s="85"/>
      <c r="AW454" s="10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Q454" s="85"/>
      <c r="BY454" s="174"/>
    </row>
    <row r="455" spans="1:77">
      <c r="C455" s="85"/>
      <c r="D455" s="85"/>
      <c r="E455" s="85"/>
      <c r="F455" s="85"/>
      <c r="G455" s="85"/>
      <c r="I455" s="85"/>
      <c r="AM455" s="10"/>
      <c r="BY455" s="174"/>
    </row>
    <row r="456" spans="1:77">
      <c r="A456" s="85"/>
      <c r="BY456" s="174"/>
    </row>
    <row r="457" spans="1:77">
      <c r="A457" s="10"/>
      <c r="BY457" s="174"/>
    </row>
    <row r="458" spans="1:77">
      <c r="BY458" s="174"/>
    </row>
    <row r="459" spans="1:77">
      <c r="BY459" s="174"/>
    </row>
    <row r="460" spans="1:77">
      <c r="AM460" s="10"/>
      <c r="BY460" s="174"/>
    </row>
    <row r="461" spans="1:77">
      <c r="BY461" s="174"/>
    </row>
    <row r="462" spans="1:77">
      <c r="A462" s="10"/>
    </row>
    <row r="463" spans="1:77">
      <c r="AM463" s="85"/>
      <c r="AO463" s="85"/>
      <c r="AP463" s="85"/>
      <c r="AQ463" s="85"/>
      <c r="AR463" s="85"/>
      <c r="AS463" s="85"/>
      <c r="AT463" s="85"/>
      <c r="AU463" s="85"/>
      <c r="AV463" s="85"/>
      <c r="AW463" s="10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</row>
    <row r="464" spans="1:77"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AO464" s="9"/>
      <c r="AP464" s="9"/>
      <c r="AQ464" s="9"/>
      <c r="AR464" s="9"/>
      <c r="AS464" s="9"/>
      <c r="AT464" s="9"/>
      <c r="AU464" s="9"/>
      <c r="AV464" s="9"/>
      <c r="AW464" s="10"/>
      <c r="AX464" s="9"/>
      <c r="AY464" s="9"/>
      <c r="AZ464" s="9"/>
    </row>
    <row r="465" spans="1:72">
      <c r="A465" s="85"/>
      <c r="AW465" s="10"/>
      <c r="BQ465" s="9"/>
      <c r="BR465" s="9"/>
      <c r="BS465" s="9"/>
      <c r="BT465" s="9"/>
    </row>
    <row r="466" spans="1:72">
      <c r="I466" s="9"/>
      <c r="J466" s="9"/>
      <c r="K466" s="9"/>
      <c r="L466" s="9"/>
      <c r="AM466" s="85"/>
      <c r="AO466" s="85"/>
      <c r="AP466" s="85"/>
      <c r="AQ466" s="85"/>
      <c r="AR466" s="85"/>
      <c r="AS466" s="85"/>
      <c r="AT466" s="85"/>
      <c r="AU466" s="85"/>
      <c r="AV466" s="85"/>
      <c r="AW466" s="10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</row>
    <row r="467" spans="1:72">
      <c r="C467" s="85"/>
      <c r="D467" s="85"/>
      <c r="E467" s="85"/>
      <c r="F467" s="85"/>
      <c r="G467" s="85"/>
      <c r="H467" s="85"/>
      <c r="I467" s="85"/>
      <c r="J467" s="85"/>
      <c r="K467" s="85"/>
      <c r="L467" s="85"/>
    </row>
    <row r="468" spans="1:72">
      <c r="A468" s="85"/>
    </row>
    <row r="479" spans="1:72">
      <c r="AM479" s="85"/>
    </row>
    <row r="481" spans="1:72">
      <c r="A481" s="85"/>
    </row>
    <row r="482" spans="1:72">
      <c r="AM482" s="10"/>
    </row>
    <row r="484" spans="1:72">
      <c r="A484" s="10"/>
    </row>
    <row r="485" spans="1:72">
      <c r="AM485" s="85"/>
      <c r="AO485" s="85"/>
      <c r="AP485" s="85"/>
      <c r="AQ485" s="85"/>
      <c r="AR485" s="85"/>
      <c r="AS485" s="85"/>
      <c r="AT485" s="85"/>
      <c r="AU485" s="85"/>
      <c r="AV485" s="85"/>
      <c r="AW485" s="10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</row>
    <row r="486" spans="1:72"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AO486" s="9"/>
      <c r="AP486" s="9"/>
      <c r="AQ486" s="9"/>
      <c r="AR486" s="9"/>
      <c r="AS486" s="9"/>
      <c r="AT486" s="9"/>
      <c r="AU486" s="9"/>
      <c r="AV486" s="9"/>
      <c r="AW486" s="10"/>
      <c r="AX486" s="9"/>
      <c r="AY486" s="9"/>
      <c r="AZ486" s="9"/>
    </row>
    <row r="487" spans="1:72">
      <c r="A487" s="85"/>
      <c r="O487" s="10"/>
      <c r="P487" s="10"/>
      <c r="Q487" s="10"/>
      <c r="R487" s="10"/>
      <c r="S487" s="10"/>
      <c r="T487" s="10"/>
      <c r="U487" s="10"/>
      <c r="V487" s="10"/>
      <c r="W487" s="10"/>
      <c r="AW487" s="10"/>
      <c r="BQ487" s="9"/>
      <c r="BR487" s="9"/>
    </row>
    <row r="488" spans="1:72">
      <c r="I488" s="9"/>
      <c r="J488" s="9"/>
      <c r="O488" s="56"/>
      <c r="P488" s="56"/>
      <c r="Q488" s="56"/>
      <c r="R488" s="56"/>
      <c r="S488" s="56"/>
      <c r="T488" s="56"/>
      <c r="U488" s="56"/>
      <c r="V488" s="56"/>
      <c r="W488" s="56"/>
      <c r="AM488" s="85"/>
      <c r="AO488" s="85"/>
      <c r="AP488" s="85"/>
      <c r="AQ488" s="85"/>
      <c r="AR488" s="85"/>
      <c r="AS488" s="85"/>
      <c r="AT488" s="85"/>
      <c r="AU488" s="85"/>
      <c r="AV488" s="85"/>
      <c r="AW488" s="10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</row>
    <row r="489" spans="1:72"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O489" s="85"/>
      <c r="P489" s="85"/>
      <c r="Q489" s="85"/>
      <c r="R489" s="85"/>
      <c r="S489" s="85"/>
      <c r="T489" s="85"/>
      <c r="U489" s="85"/>
      <c r="V489" s="85"/>
      <c r="W489" s="85"/>
    </row>
    <row r="490" spans="1:72">
      <c r="A490" s="85"/>
    </row>
    <row r="494" spans="1:72">
      <c r="O494" s="119"/>
      <c r="P494" s="119"/>
    </row>
    <row r="495" spans="1:72">
      <c r="O495" s="119"/>
      <c r="P495" s="119"/>
    </row>
    <row r="496" spans="1:72">
      <c r="O496" s="119"/>
      <c r="P496" s="119"/>
    </row>
    <row r="497" spans="1:77">
      <c r="O497" s="119"/>
      <c r="P497" s="119"/>
    </row>
    <row r="498" spans="1:77">
      <c r="O498" s="119"/>
      <c r="P498" s="119"/>
    </row>
    <row r="499" spans="1:77" ht="15.6" thickBot="1">
      <c r="O499" s="122"/>
      <c r="P499" s="122"/>
    </row>
    <row r="500" spans="1:77" ht="15.6" thickTop="1"/>
    <row r="501" spans="1:77"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W501" s="85"/>
      <c r="BX501" s="85"/>
      <c r="BY501" s="85"/>
    </row>
    <row r="502" spans="1:77">
      <c r="C502" s="85"/>
      <c r="D502" s="85"/>
      <c r="E502" s="85"/>
      <c r="F502" s="85"/>
      <c r="G502" s="85"/>
      <c r="H502" s="85"/>
      <c r="I502" s="85"/>
      <c r="J502" s="85"/>
      <c r="K502" s="85"/>
      <c r="L502" s="85"/>
    </row>
    <row r="503" spans="1:77">
      <c r="A503" s="85"/>
    </row>
    <row r="505" spans="1:77" ht="15.6" thickBot="1"/>
    <row r="506" spans="1:77" ht="15.6" thickTop="1">
      <c r="O506" s="125"/>
      <c r="P506" s="125"/>
    </row>
    <row r="507" spans="1:77">
      <c r="O507" s="119"/>
      <c r="P507" s="119"/>
    </row>
    <row r="508" spans="1:77">
      <c r="O508" s="127"/>
      <c r="P508" s="127"/>
      <c r="Q508" s="10"/>
      <c r="R508" s="10"/>
      <c r="S508" s="10"/>
      <c r="T508" s="10"/>
      <c r="U508" s="10"/>
      <c r="V508" s="10"/>
      <c r="W508" s="10"/>
    </row>
    <row r="509" spans="1:77">
      <c r="O509" s="128"/>
      <c r="P509" s="128"/>
      <c r="Q509" s="56"/>
      <c r="R509" s="56"/>
      <c r="S509" s="56"/>
      <c r="T509" s="56"/>
      <c r="U509" s="56"/>
      <c r="V509" s="56"/>
      <c r="W509" s="56"/>
    </row>
    <row r="510" spans="1:77">
      <c r="O510" s="129"/>
      <c r="P510" s="129"/>
      <c r="Q510" s="85"/>
      <c r="R510" s="85"/>
      <c r="S510" s="85"/>
      <c r="T510" s="85"/>
      <c r="U510" s="85"/>
      <c r="V510" s="85"/>
      <c r="W510" s="85"/>
    </row>
    <row r="511" spans="1:77">
      <c r="O511" s="119"/>
      <c r="P511" s="119"/>
    </row>
    <row r="512" spans="1:77">
      <c r="O512" s="119"/>
      <c r="P512" s="119"/>
    </row>
    <row r="513" spans="15:77">
      <c r="O513" s="119"/>
      <c r="P513" s="119"/>
    </row>
    <row r="514" spans="15:77">
      <c r="O514" s="119"/>
      <c r="P514" s="119"/>
    </row>
    <row r="515" spans="15:77">
      <c r="O515" s="119"/>
      <c r="P515" s="119"/>
    </row>
    <row r="516" spans="15:77">
      <c r="O516" s="119"/>
      <c r="P516" s="119"/>
    </row>
    <row r="517" spans="15:77">
      <c r="O517" s="119"/>
      <c r="P517" s="119"/>
    </row>
    <row r="518" spans="15:77">
      <c r="O518" s="119"/>
      <c r="P518" s="119"/>
    </row>
    <row r="519" spans="15:77">
      <c r="O519" s="119"/>
      <c r="P519" s="119"/>
    </row>
    <row r="520" spans="15:77" ht="15.6" thickBot="1">
      <c r="O520" s="122"/>
      <c r="P520" s="122"/>
    </row>
    <row r="521" spans="15:77" ht="15.6" thickTop="1"/>
    <row r="522" spans="15:77">
      <c r="BX522" s="174"/>
      <c r="BY522" s="174"/>
    </row>
    <row r="523" spans="15:77">
      <c r="BX523" s="174"/>
      <c r="BY523" s="174"/>
    </row>
    <row r="524" spans="15:77">
      <c r="BX524" s="174"/>
      <c r="BY524" s="174"/>
    </row>
    <row r="525" spans="15:77">
      <c r="BX525" s="174"/>
      <c r="BY525" s="174"/>
    </row>
    <row r="526" spans="15:77">
      <c r="BX526" s="174"/>
      <c r="BY526" s="174"/>
    </row>
    <row r="527" spans="15:77">
      <c r="BY527" s="174"/>
    </row>
    <row r="528" spans="15:77">
      <c r="BY528" s="174"/>
    </row>
    <row r="531" spans="15:23">
      <c r="O531" s="85"/>
      <c r="P531" s="85"/>
      <c r="Q531" s="85"/>
      <c r="R531" s="85"/>
      <c r="S531" s="85"/>
      <c r="T531" s="85"/>
      <c r="U531" s="85"/>
      <c r="V531" s="85"/>
      <c r="W531" s="85"/>
    </row>
    <row r="547" spans="15:77">
      <c r="BY547" s="174"/>
    </row>
    <row r="556" spans="15:77">
      <c r="O556" s="85"/>
      <c r="P556" s="85"/>
      <c r="Q556" s="85"/>
      <c r="R556" s="85"/>
      <c r="S556" s="85"/>
      <c r="T556" s="85"/>
      <c r="U556" s="85"/>
      <c r="V556" s="85"/>
      <c r="W556" s="85"/>
    </row>
    <row r="559" spans="15:77">
      <c r="O559" s="85"/>
      <c r="P559" s="85"/>
      <c r="Q559" s="85"/>
      <c r="R559" s="85"/>
      <c r="S559" s="85"/>
      <c r="T559" s="85"/>
      <c r="U559" s="85"/>
      <c r="V559" s="85"/>
      <c r="W559" s="85"/>
    </row>
    <row r="578" spans="15:23">
      <c r="O578" s="85"/>
      <c r="P578" s="85"/>
      <c r="Q578" s="85"/>
      <c r="R578" s="85"/>
      <c r="S578" s="85"/>
      <c r="T578" s="85"/>
      <c r="U578" s="85"/>
      <c r="V578" s="85"/>
      <c r="W578" s="85"/>
    </row>
    <row r="580" spans="15:23">
      <c r="O580" s="9"/>
      <c r="P580" s="9"/>
      <c r="Q580" s="9"/>
      <c r="R580" s="9"/>
      <c r="S580" s="9"/>
      <c r="T580" s="9"/>
      <c r="U580" s="9"/>
      <c r="V580" s="9"/>
      <c r="W580" s="9"/>
    </row>
    <row r="581" spans="15:23">
      <c r="O581" s="85"/>
      <c r="P581" s="85"/>
      <c r="Q581" s="85"/>
      <c r="R581" s="85"/>
      <c r="S581" s="85"/>
      <c r="T581" s="85"/>
      <c r="U581" s="85"/>
      <c r="V581" s="85"/>
      <c r="W581" s="85"/>
    </row>
  </sheetData>
  <mergeCells count="3">
    <mergeCell ref="A6:D7"/>
    <mergeCell ref="A65:B65"/>
    <mergeCell ref="A68:B68"/>
  </mergeCells>
  <printOptions horizontalCentered="1" verticalCentered="1"/>
  <pageMargins left="0" right="0" top="0" bottom="0" header="0" footer="0"/>
  <pageSetup paperSize="9" scale="12" orientation="landscape" horizontalDpi="360" verticalDpi="36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B62-8DBD-4EC0-A540-5B1473F94F70}">
  <sheetPr>
    <tabColor theme="9" tint="-0.249977111117893"/>
    <pageSetUpPr fitToPage="1"/>
  </sheetPr>
  <dimension ref="A2:BT648"/>
  <sheetViews>
    <sheetView view="pageBreakPreview" zoomScale="60" zoomScaleNormal="75" workbookViewId="0">
      <pane xSplit="2" topLeftCell="Y1" activePane="topRight" state="frozen"/>
      <selection activeCell="B66" sqref="B66"/>
      <selection pane="topRight" activeCell="Z39" sqref="Z39:AL39"/>
    </sheetView>
  </sheetViews>
  <sheetFormatPr baseColWidth="10" defaultColWidth="14.109375" defaultRowHeight="15"/>
  <cols>
    <col min="1" max="1" width="53.5546875" style="6" customWidth="1"/>
    <col min="2" max="2" width="53.5546875" style="7" customWidth="1"/>
    <col min="3" max="23" width="13.21875" style="6" customWidth="1"/>
    <col min="24" max="30" width="13.21875" style="9" customWidth="1"/>
    <col min="31" max="31" width="14.109375" style="9" customWidth="1"/>
    <col min="32" max="33" width="12.21875" style="9" customWidth="1"/>
    <col min="34" max="34" width="12.77734375" style="11" customWidth="1"/>
    <col min="35" max="36" width="14.77734375" style="11" customWidth="1"/>
    <col min="37" max="37" width="14.44140625" style="11" customWidth="1"/>
    <col min="38" max="38" width="17.21875" style="11" customWidth="1"/>
    <col min="39" max="39" width="9.6640625" style="11" customWidth="1"/>
    <col min="40" max="40" width="11.109375" style="11" customWidth="1"/>
    <col min="41" max="57" width="5.5546875" style="11" customWidth="1"/>
    <col min="58" max="256" width="14.109375" style="11"/>
    <col min="257" max="258" width="53.5546875" style="11" customWidth="1"/>
    <col min="259" max="286" width="13.21875" style="11" customWidth="1"/>
    <col min="287" max="287" width="14.109375" style="11"/>
    <col min="288" max="289" width="12.21875" style="11" customWidth="1"/>
    <col min="290" max="290" width="12.77734375" style="11" customWidth="1"/>
    <col min="291" max="292" width="14.77734375" style="11" customWidth="1"/>
    <col min="293" max="293" width="14.44140625" style="11" customWidth="1"/>
    <col min="294" max="294" width="17.21875" style="11" customWidth="1"/>
    <col min="295" max="295" width="9.6640625" style="11" customWidth="1"/>
    <col min="296" max="296" width="11.109375" style="11" customWidth="1"/>
    <col min="297" max="313" width="5.5546875" style="11" customWidth="1"/>
    <col min="314" max="512" width="14.109375" style="11"/>
    <col min="513" max="514" width="53.5546875" style="11" customWidth="1"/>
    <col min="515" max="542" width="13.21875" style="11" customWidth="1"/>
    <col min="543" max="543" width="14.109375" style="11"/>
    <col min="544" max="545" width="12.21875" style="11" customWidth="1"/>
    <col min="546" max="546" width="12.77734375" style="11" customWidth="1"/>
    <col min="547" max="548" width="14.77734375" style="11" customWidth="1"/>
    <col min="549" max="549" width="14.44140625" style="11" customWidth="1"/>
    <col min="550" max="550" width="17.21875" style="11" customWidth="1"/>
    <col min="551" max="551" width="9.6640625" style="11" customWidth="1"/>
    <col min="552" max="552" width="11.109375" style="11" customWidth="1"/>
    <col min="553" max="569" width="5.5546875" style="11" customWidth="1"/>
    <col min="570" max="768" width="14.109375" style="11"/>
    <col min="769" max="770" width="53.5546875" style="11" customWidth="1"/>
    <col min="771" max="798" width="13.21875" style="11" customWidth="1"/>
    <col min="799" max="799" width="14.109375" style="11"/>
    <col min="800" max="801" width="12.21875" style="11" customWidth="1"/>
    <col min="802" max="802" width="12.77734375" style="11" customWidth="1"/>
    <col min="803" max="804" width="14.77734375" style="11" customWidth="1"/>
    <col min="805" max="805" width="14.44140625" style="11" customWidth="1"/>
    <col min="806" max="806" width="17.21875" style="11" customWidth="1"/>
    <col min="807" max="807" width="9.6640625" style="11" customWidth="1"/>
    <col min="808" max="808" width="11.109375" style="11" customWidth="1"/>
    <col min="809" max="825" width="5.5546875" style="11" customWidth="1"/>
    <col min="826" max="1024" width="14.109375" style="11"/>
    <col min="1025" max="1026" width="53.5546875" style="11" customWidth="1"/>
    <col min="1027" max="1054" width="13.21875" style="11" customWidth="1"/>
    <col min="1055" max="1055" width="14.109375" style="11"/>
    <col min="1056" max="1057" width="12.21875" style="11" customWidth="1"/>
    <col min="1058" max="1058" width="12.77734375" style="11" customWidth="1"/>
    <col min="1059" max="1060" width="14.77734375" style="11" customWidth="1"/>
    <col min="1061" max="1061" width="14.44140625" style="11" customWidth="1"/>
    <col min="1062" max="1062" width="17.21875" style="11" customWidth="1"/>
    <col min="1063" max="1063" width="9.6640625" style="11" customWidth="1"/>
    <col min="1064" max="1064" width="11.109375" style="11" customWidth="1"/>
    <col min="1065" max="1081" width="5.5546875" style="11" customWidth="1"/>
    <col min="1082" max="1280" width="14.109375" style="11"/>
    <col min="1281" max="1282" width="53.5546875" style="11" customWidth="1"/>
    <col min="1283" max="1310" width="13.21875" style="11" customWidth="1"/>
    <col min="1311" max="1311" width="14.109375" style="11"/>
    <col min="1312" max="1313" width="12.21875" style="11" customWidth="1"/>
    <col min="1314" max="1314" width="12.77734375" style="11" customWidth="1"/>
    <col min="1315" max="1316" width="14.77734375" style="11" customWidth="1"/>
    <col min="1317" max="1317" width="14.44140625" style="11" customWidth="1"/>
    <col min="1318" max="1318" width="17.21875" style="11" customWidth="1"/>
    <col min="1319" max="1319" width="9.6640625" style="11" customWidth="1"/>
    <col min="1320" max="1320" width="11.109375" style="11" customWidth="1"/>
    <col min="1321" max="1337" width="5.5546875" style="11" customWidth="1"/>
    <col min="1338" max="1536" width="14.109375" style="11"/>
    <col min="1537" max="1538" width="53.5546875" style="11" customWidth="1"/>
    <col min="1539" max="1566" width="13.21875" style="11" customWidth="1"/>
    <col min="1567" max="1567" width="14.109375" style="11"/>
    <col min="1568" max="1569" width="12.21875" style="11" customWidth="1"/>
    <col min="1570" max="1570" width="12.77734375" style="11" customWidth="1"/>
    <col min="1571" max="1572" width="14.77734375" style="11" customWidth="1"/>
    <col min="1573" max="1573" width="14.44140625" style="11" customWidth="1"/>
    <col min="1574" max="1574" width="17.21875" style="11" customWidth="1"/>
    <col min="1575" max="1575" width="9.6640625" style="11" customWidth="1"/>
    <col min="1576" max="1576" width="11.109375" style="11" customWidth="1"/>
    <col min="1577" max="1593" width="5.5546875" style="11" customWidth="1"/>
    <col min="1594" max="1792" width="14.109375" style="11"/>
    <col min="1793" max="1794" width="53.5546875" style="11" customWidth="1"/>
    <col min="1795" max="1822" width="13.21875" style="11" customWidth="1"/>
    <col min="1823" max="1823" width="14.109375" style="11"/>
    <col min="1824" max="1825" width="12.21875" style="11" customWidth="1"/>
    <col min="1826" max="1826" width="12.77734375" style="11" customWidth="1"/>
    <col min="1827" max="1828" width="14.77734375" style="11" customWidth="1"/>
    <col min="1829" max="1829" width="14.44140625" style="11" customWidth="1"/>
    <col min="1830" max="1830" width="17.21875" style="11" customWidth="1"/>
    <col min="1831" max="1831" width="9.6640625" style="11" customWidth="1"/>
    <col min="1832" max="1832" width="11.109375" style="11" customWidth="1"/>
    <col min="1833" max="1849" width="5.5546875" style="11" customWidth="1"/>
    <col min="1850" max="2048" width="14.109375" style="11"/>
    <col min="2049" max="2050" width="53.5546875" style="11" customWidth="1"/>
    <col min="2051" max="2078" width="13.21875" style="11" customWidth="1"/>
    <col min="2079" max="2079" width="14.109375" style="11"/>
    <col min="2080" max="2081" width="12.21875" style="11" customWidth="1"/>
    <col min="2082" max="2082" width="12.77734375" style="11" customWidth="1"/>
    <col min="2083" max="2084" width="14.77734375" style="11" customWidth="1"/>
    <col min="2085" max="2085" width="14.44140625" style="11" customWidth="1"/>
    <col min="2086" max="2086" width="17.21875" style="11" customWidth="1"/>
    <col min="2087" max="2087" width="9.6640625" style="11" customWidth="1"/>
    <col min="2088" max="2088" width="11.109375" style="11" customWidth="1"/>
    <col min="2089" max="2105" width="5.5546875" style="11" customWidth="1"/>
    <col min="2106" max="2304" width="14.109375" style="11"/>
    <col min="2305" max="2306" width="53.5546875" style="11" customWidth="1"/>
    <col min="2307" max="2334" width="13.21875" style="11" customWidth="1"/>
    <col min="2335" max="2335" width="14.109375" style="11"/>
    <col min="2336" max="2337" width="12.21875" style="11" customWidth="1"/>
    <col min="2338" max="2338" width="12.77734375" style="11" customWidth="1"/>
    <col min="2339" max="2340" width="14.77734375" style="11" customWidth="1"/>
    <col min="2341" max="2341" width="14.44140625" style="11" customWidth="1"/>
    <col min="2342" max="2342" width="17.21875" style="11" customWidth="1"/>
    <col min="2343" max="2343" width="9.6640625" style="11" customWidth="1"/>
    <col min="2344" max="2344" width="11.109375" style="11" customWidth="1"/>
    <col min="2345" max="2361" width="5.5546875" style="11" customWidth="1"/>
    <col min="2362" max="2560" width="14.109375" style="11"/>
    <col min="2561" max="2562" width="53.5546875" style="11" customWidth="1"/>
    <col min="2563" max="2590" width="13.21875" style="11" customWidth="1"/>
    <col min="2591" max="2591" width="14.109375" style="11"/>
    <col min="2592" max="2593" width="12.21875" style="11" customWidth="1"/>
    <col min="2594" max="2594" width="12.77734375" style="11" customWidth="1"/>
    <col min="2595" max="2596" width="14.77734375" style="11" customWidth="1"/>
    <col min="2597" max="2597" width="14.44140625" style="11" customWidth="1"/>
    <col min="2598" max="2598" width="17.21875" style="11" customWidth="1"/>
    <col min="2599" max="2599" width="9.6640625" style="11" customWidth="1"/>
    <col min="2600" max="2600" width="11.109375" style="11" customWidth="1"/>
    <col min="2601" max="2617" width="5.5546875" style="11" customWidth="1"/>
    <col min="2618" max="2816" width="14.109375" style="11"/>
    <col min="2817" max="2818" width="53.5546875" style="11" customWidth="1"/>
    <col min="2819" max="2846" width="13.21875" style="11" customWidth="1"/>
    <col min="2847" max="2847" width="14.109375" style="11"/>
    <col min="2848" max="2849" width="12.21875" style="11" customWidth="1"/>
    <col min="2850" max="2850" width="12.77734375" style="11" customWidth="1"/>
    <col min="2851" max="2852" width="14.77734375" style="11" customWidth="1"/>
    <col min="2853" max="2853" width="14.44140625" style="11" customWidth="1"/>
    <col min="2854" max="2854" width="17.21875" style="11" customWidth="1"/>
    <col min="2855" max="2855" width="9.6640625" style="11" customWidth="1"/>
    <col min="2856" max="2856" width="11.109375" style="11" customWidth="1"/>
    <col min="2857" max="2873" width="5.5546875" style="11" customWidth="1"/>
    <col min="2874" max="3072" width="14.109375" style="11"/>
    <col min="3073" max="3074" width="53.5546875" style="11" customWidth="1"/>
    <col min="3075" max="3102" width="13.21875" style="11" customWidth="1"/>
    <col min="3103" max="3103" width="14.109375" style="11"/>
    <col min="3104" max="3105" width="12.21875" style="11" customWidth="1"/>
    <col min="3106" max="3106" width="12.77734375" style="11" customWidth="1"/>
    <col min="3107" max="3108" width="14.77734375" style="11" customWidth="1"/>
    <col min="3109" max="3109" width="14.44140625" style="11" customWidth="1"/>
    <col min="3110" max="3110" width="17.21875" style="11" customWidth="1"/>
    <col min="3111" max="3111" width="9.6640625" style="11" customWidth="1"/>
    <col min="3112" max="3112" width="11.109375" style="11" customWidth="1"/>
    <col min="3113" max="3129" width="5.5546875" style="11" customWidth="1"/>
    <col min="3130" max="3328" width="14.109375" style="11"/>
    <col min="3329" max="3330" width="53.5546875" style="11" customWidth="1"/>
    <col min="3331" max="3358" width="13.21875" style="11" customWidth="1"/>
    <col min="3359" max="3359" width="14.109375" style="11"/>
    <col min="3360" max="3361" width="12.21875" style="11" customWidth="1"/>
    <col min="3362" max="3362" width="12.77734375" style="11" customWidth="1"/>
    <col min="3363" max="3364" width="14.77734375" style="11" customWidth="1"/>
    <col min="3365" max="3365" width="14.44140625" style="11" customWidth="1"/>
    <col min="3366" max="3366" width="17.21875" style="11" customWidth="1"/>
    <col min="3367" max="3367" width="9.6640625" style="11" customWidth="1"/>
    <col min="3368" max="3368" width="11.109375" style="11" customWidth="1"/>
    <col min="3369" max="3385" width="5.5546875" style="11" customWidth="1"/>
    <col min="3386" max="3584" width="14.109375" style="11"/>
    <col min="3585" max="3586" width="53.5546875" style="11" customWidth="1"/>
    <col min="3587" max="3614" width="13.21875" style="11" customWidth="1"/>
    <col min="3615" max="3615" width="14.109375" style="11"/>
    <col min="3616" max="3617" width="12.21875" style="11" customWidth="1"/>
    <col min="3618" max="3618" width="12.77734375" style="11" customWidth="1"/>
    <col min="3619" max="3620" width="14.77734375" style="11" customWidth="1"/>
    <col min="3621" max="3621" width="14.44140625" style="11" customWidth="1"/>
    <col min="3622" max="3622" width="17.21875" style="11" customWidth="1"/>
    <col min="3623" max="3623" width="9.6640625" style="11" customWidth="1"/>
    <col min="3624" max="3624" width="11.109375" style="11" customWidth="1"/>
    <col min="3625" max="3641" width="5.5546875" style="11" customWidth="1"/>
    <col min="3642" max="3840" width="14.109375" style="11"/>
    <col min="3841" max="3842" width="53.5546875" style="11" customWidth="1"/>
    <col min="3843" max="3870" width="13.21875" style="11" customWidth="1"/>
    <col min="3871" max="3871" width="14.109375" style="11"/>
    <col min="3872" max="3873" width="12.21875" style="11" customWidth="1"/>
    <col min="3874" max="3874" width="12.77734375" style="11" customWidth="1"/>
    <col min="3875" max="3876" width="14.77734375" style="11" customWidth="1"/>
    <col min="3877" max="3877" width="14.44140625" style="11" customWidth="1"/>
    <col min="3878" max="3878" width="17.21875" style="11" customWidth="1"/>
    <col min="3879" max="3879" width="9.6640625" style="11" customWidth="1"/>
    <col min="3880" max="3880" width="11.109375" style="11" customWidth="1"/>
    <col min="3881" max="3897" width="5.5546875" style="11" customWidth="1"/>
    <col min="3898" max="4096" width="14.109375" style="11"/>
    <col min="4097" max="4098" width="53.5546875" style="11" customWidth="1"/>
    <col min="4099" max="4126" width="13.21875" style="11" customWidth="1"/>
    <col min="4127" max="4127" width="14.109375" style="11"/>
    <col min="4128" max="4129" width="12.21875" style="11" customWidth="1"/>
    <col min="4130" max="4130" width="12.77734375" style="11" customWidth="1"/>
    <col min="4131" max="4132" width="14.77734375" style="11" customWidth="1"/>
    <col min="4133" max="4133" width="14.44140625" style="11" customWidth="1"/>
    <col min="4134" max="4134" width="17.21875" style="11" customWidth="1"/>
    <col min="4135" max="4135" width="9.6640625" style="11" customWidth="1"/>
    <col min="4136" max="4136" width="11.109375" style="11" customWidth="1"/>
    <col min="4137" max="4153" width="5.5546875" style="11" customWidth="1"/>
    <col min="4154" max="4352" width="14.109375" style="11"/>
    <col min="4353" max="4354" width="53.5546875" style="11" customWidth="1"/>
    <col min="4355" max="4382" width="13.21875" style="11" customWidth="1"/>
    <col min="4383" max="4383" width="14.109375" style="11"/>
    <col min="4384" max="4385" width="12.21875" style="11" customWidth="1"/>
    <col min="4386" max="4386" width="12.77734375" style="11" customWidth="1"/>
    <col min="4387" max="4388" width="14.77734375" style="11" customWidth="1"/>
    <col min="4389" max="4389" width="14.44140625" style="11" customWidth="1"/>
    <col min="4390" max="4390" width="17.21875" style="11" customWidth="1"/>
    <col min="4391" max="4391" width="9.6640625" style="11" customWidth="1"/>
    <col min="4392" max="4392" width="11.109375" style="11" customWidth="1"/>
    <col min="4393" max="4409" width="5.5546875" style="11" customWidth="1"/>
    <col min="4410" max="4608" width="14.109375" style="11"/>
    <col min="4609" max="4610" width="53.5546875" style="11" customWidth="1"/>
    <col min="4611" max="4638" width="13.21875" style="11" customWidth="1"/>
    <col min="4639" max="4639" width="14.109375" style="11"/>
    <col min="4640" max="4641" width="12.21875" style="11" customWidth="1"/>
    <col min="4642" max="4642" width="12.77734375" style="11" customWidth="1"/>
    <col min="4643" max="4644" width="14.77734375" style="11" customWidth="1"/>
    <col min="4645" max="4645" width="14.44140625" style="11" customWidth="1"/>
    <col min="4646" max="4646" width="17.21875" style="11" customWidth="1"/>
    <col min="4647" max="4647" width="9.6640625" style="11" customWidth="1"/>
    <col min="4648" max="4648" width="11.109375" style="11" customWidth="1"/>
    <col min="4649" max="4665" width="5.5546875" style="11" customWidth="1"/>
    <col min="4666" max="4864" width="14.109375" style="11"/>
    <col min="4865" max="4866" width="53.5546875" style="11" customWidth="1"/>
    <col min="4867" max="4894" width="13.21875" style="11" customWidth="1"/>
    <col min="4895" max="4895" width="14.109375" style="11"/>
    <col min="4896" max="4897" width="12.21875" style="11" customWidth="1"/>
    <col min="4898" max="4898" width="12.77734375" style="11" customWidth="1"/>
    <col min="4899" max="4900" width="14.77734375" style="11" customWidth="1"/>
    <col min="4901" max="4901" width="14.44140625" style="11" customWidth="1"/>
    <col min="4902" max="4902" width="17.21875" style="11" customWidth="1"/>
    <col min="4903" max="4903" width="9.6640625" style="11" customWidth="1"/>
    <col min="4904" max="4904" width="11.109375" style="11" customWidth="1"/>
    <col min="4905" max="4921" width="5.5546875" style="11" customWidth="1"/>
    <col min="4922" max="5120" width="14.109375" style="11"/>
    <col min="5121" max="5122" width="53.5546875" style="11" customWidth="1"/>
    <col min="5123" max="5150" width="13.21875" style="11" customWidth="1"/>
    <col min="5151" max="5151" width="14.109375" style="11"/>
    <col min="5152" max="5153" width="12.21875" style="11" customWidth="1"/>
    <col min="5154" max="5154" width="12.77734375" style="11" customWidth="1"/>
    <col min="5155" max="5156" width="14.77734375" style="11" customWidth="1"/>
    <col min="5157" max="5157" width="14.44140625" style="11" customWidth="1"/>
    <col min="5158" max="5158" width="17.21875" style="11" customWidth="1"/>
    <col min="5159" max="5159" width="9.6640625" style="11" customWidth="1"/>
    <col min="5160" max="5160" width="11.109375" style="11" customWidth="1"/>
    <col min="5161" max="5177" width="5.5546875" style="11" customWidth="1"/>
    <col min="5178" max="5376" width="14.109375" style="11"/>
    <col min="5377" max="5378" width="53.5546875" style="11" customWidth="1"/>
    <col min="5379" max="5406" width="13.21875" style="11" customWidth="1"/>
    <col min="5407" max="5407" width="14.109375" style="11"/>
    <col min="5408" max="5409" width="12.21875" style="11" customWidth="1"/>
    <col min="5410" max="5410" width="12.77734375" style="11" customWidth="1"/>
    <col min="5411" max="5412" width="14.77734375" style="11" customWidth="1"/>
    <col min="5413" max="5413" width="14.44140625" style="11" customWidth="1"/>
    <col min="5414" max="5414" width="17.21875" style="11" customWidth="1"/>
    <col min="5415" max="5415" width="9.6640625" style="11" customWidth="1"/>
    <col min="5416" max="5416" width="11.109375" style="11" customWidth="1"/>
    <col min="5417" max="5433" width="5.5546875" style="11" customWidth="1"/>
    <col min="5434" max="5632" width="14.109375" style="11"/>
    <col min="5633" max="5634" width="53.5546875" style="11" customWidth="1"/>
    <col min="5635" max="5662" width="13.21875" style="11" customWidth="1"/>
    <col min="5663" max="5663" width="14.109375" style="11"/>
    <col min="5664" max="5665" width="12.21875" style="11" customWidth="1"/>
    <col min="5666" max="5666" width="12.77734375" style="11" customWidth="1"/>
    <col min="5667" max="5668" width="14.77734375" style="11" customWidth="1"/>
    <col min="5669" max="5669" width="14.44140625" style="11" customWidth="1"/>
    <col min="5670" max="5670" width="17.21875" style="11" customWidth="1"/>
    <col min="5671" max="5671" width="9.6640625" style="11" customWidth="1"/>
    <col min="5672" max="5672" width="11.109375" style="11" customWidth="1"/>
    <col min="5673" max="5689" width="5.5546875" style="11" customWidth="1"/>
    <col min="5690" max="5888" width="14.109375" style="11"/>
    <col min="5889" max="5890" width="53.5546875" style="11" customWidth="1"/>
    <col min="5891" max="5918" width="13.21875" style="11" customWidth="1"/>
    <col min="5919" max="5919" width="14.109375" style="11"/>
    <col min="5920" max="5921" width="12.21875" style="11" customWidth="1"/>
    <col min="5922" max="5922" width="12.77734375" style="11" customWidth="1"/>
    <col min="5923" max="5924" width="14.77734375" style="11" customWidth="1"/>
    <col min="5925" max="5925" width="14.44140625" style="11" customWidth="1"/>
    <col min="5926" max="5926" width="17.21875" style="11" customWidth="1"/>
    <col min="5927" max="5927" width="9.6640625" style="11" customWidth="1"/>
    <col min="5928" max="5928" width="11.109375" style="11" customWidth="1"/>
    <col min="5929" max="5945" width="5.5546875" style="11" customWidth="1"/>
    <col min="5946" max="6144" width="14.109375" style="11"/>
    <col min="6145" max="6146" width="53.5546875" style="11" customWidth="1"/>
    <col min="6147" max="6174" width="13.21875" style="11" customWidth="1"/>
    <col min="6175" max="6175" width="14.109375" style="11"/>
    <col min="6176" max="6177" width="12.21875" style="11" customWidth="1"/>
    <col min="6178" max="6178" width="12.77734375" style="11" customWidth="1"/>
    <col min="6179" max="6180" width="14.77734375" style="11" customWidth="1"/>
    <col min="6181" max="6181" width="14.44140625" style="11" customWidth="1"/>
    <col min="6182" max="6182" width="17.21875" style="11" customWidth="1"/>
    <col min="6183" max="6183" width="9.6640625" style="11" customWidth="1"/>
    <col min="6184" max="6184" width="11.109375" style="11" customWidth="1"/>
    <col min="6185" max="6201" width="5.5546875" style="11" customWidth="1"/>
    <col min="6202" max="6400" width="14.109375" style="11"/>
    <col min="6401" max="6402" width="53.5546875" style="11" customWidth="1"/>
    <col min="6403" max="6430" width="13.21875" style="11" customWidth="1"/>
    <col min="6431" max="6431" width="14.109375" style="11"/>
    <col min="6432" max="6433" width="12.21875" style="11" customWidth="1"/>
    <col min="6434" max="6434" width="12.77734375" style="11" customWidth="1"/>
    <col min="6435" max="6436" width="14.77734375" style="11" customWidth="1"/>
    <col min="6437" max="6437" width="14.44140625" style="11" customWidth="1"/>
    <col min="6438" max="6438" width="17.21875" style="11" customWidth="1"/>
    <col min="6439" max="6439" width="9.6640625" style="11" customWidth="1"/>
    <col min="6440" max="6440" width="11.109375" style="11" customWidth="1"/>
    <col min="6441" max="6457" width="5.5546875" style="11" customWidth="1"/>
    <col min="6458" max="6656" width="14.109375" style="11"/>
    <col min="6657" max="6658" width="53.5546875" style="11" customWidth="1"/>
    <col min="6659" max="6686" width="13.21875" style="11" customWidth="1"/>
    <col min="6687" max="6687" width="14.109375" style="11"/>
    <col min="6688" max="6689" width="12.21875" style="11" customWidth="1"/>
    <col min="6690" max="6690" width="12.77734375" style="11" customWidth="1"/>
    <col min="6691" max="6692" width="14.77734375" style="11" customWidth="1"/>
    <col min="6693" max="6693" width="14.44140625" style="11" customWidth="1"/>
    <col min="6694" max="6694" width="17.21875" style="11" customWidth="1"/>
    <col min="6695" max="6695" width="9.6640625" style="11" customWidth="1"/>
    <col min="6696" max="6696" width="11.109375" style="11" customWidth="1"/>
    <col min="6697" max="6713" width="5.5546875" style="11" customWidth="1"/>
    <col min="6714" max="6912" width="14.109375" style="11"/>
    <col min="6913" max="6914" width="53.5546875" style="11" customWidth="1"/>
    <col min="6915" max="6942" width="13.21875" style="11" customWidth="1"/>
    <col min="6943" max="6943" width="14.109375" style="11"/>
    <col min="6944" max="6945" width="12.21875" style="11" customWidth="1"/>
    <col min="6946" max="6946" width="12.77734375" style="11" customWidth="1"/>
    <col min="6947" max="6948" width="14.77734375" style="11" customWidth="1"/>
    <col min="6949" max="6949" width="14.44140625" style="11" customWidth="1"/>
    <col min="6950" max="6950" width="17.21875" style="11" customWidth="1"/>
    <col min="6951" max="6951" width="9.6640625" style="11" customWidth="1"/>
    <col min="6952" max="6952" width="11.109375" style="11" customWidth="1"/>
    <col min="6953" max="6969" width="5.5546875" style="11" customWidth="1"/>
    <col min="6970" max="7168" width="14.109375" style="11"/>
    <col min="7169" max="7170" width="53.5546875" style="11" customWidth="1"/>
    <col min="7171" max="7198" width="13.21875" style="11" customWidth="1"/>
    <col min="7199" max="7199" width="14.109375" style="11"/>
    <col min="7200" max="7201" width="12.21875" style="11" customWidth="1"/>
    <col min="7202" max="7202" width="12.77734375" style="11" customWidth="1"/>
    <col min="7203" max="7204" width="14.77734375" style="11" customWidth="1"/>
    <col min="7205" max="7205" width="14.44140625" style="11" customWidth="1"/>
    <col min="7206" max="7206" width="17.21875" style="11" customWidth="1"/>
    <col min="7207" max="7207" width="9.6640625" style="11" customWidth="1"/>
    <col min="7208" max="7208" width="11.109375" style="11" customWidth="1"/>
    <col min="7209" max="7225" width="5.5546875" style="11" customWidth="1"/>
    <col min="7226" max="7424" width="14.109375" style="11"/>
    <col min="7425" max="7426" width="53.5546875" style="11" customWidth="1"/>
    <col min="7427" max="7454" width="13.21875" style="11" customWidth="1"/>
    <col min="7455" max="7455" width="14.109375" style="11"/>
    <col min="7456" max="7457" width="12.21875" style="11" customWidth="1"/>
    <col min="7458" max="7458" width="12.77734375" style="11" customWidth="1"/>
    <col min="7459" max="7460" width="14.77734375" style="11" customWidth="1"/>
    <col min="7461" max="7461" width="14.44140625" style="11" customWidth="1"/>
    <col min="7462" max="7462" width="17.21875" style="11" customWidth="1"/>
    <col min="7463" max="7463" width="9.6640625" style="11" customWidth="1"/>
    <col min="7464" max="7464" width="11.109375" style="11" customWidth="1"/>
    <col min="7465" max="7481" width="5.5546875" style="11" customWidth="1"/>
    <col min="7482" max="7680" width="14.109375" style="11"/>
    <col min="7681" max="7682" width="53.5546875" style="11" customWidth="1"/>
    <col min="7683" max="7710" width="13.21875" style="11" customWidth="1"/>
    <col min="7711" max="7711" width="14.109375" style="11"/>
    <col min="7712" max="7713" width="12.21875" style="11" customWidth="1"/>
    <col min="7714" max="7714" width="12.77734375" style="11" customWidth="1"/>
    <col min="7715" max="7716" width="14.77734375" style="11" customWidth="1"/>
    <col min="7717" max="7717" width="14.44140625" style="11" customWidth="1"/>
    <col min="7718" max="7718" width="17.21875" style="11" customWidth="1"/>
    <col min="7719" max="7719" width="9.6640625" style="11" customWidth="1"/>
    <col min="7720" max="7720" width="11.109375" style="11" customWidth="1"/>
    <col min="7721" max="7737" width="5.5546875" style="11" customWidth="1"/>
    <col min="7738" max="7936" width="14.109375" style="11"/>
    <col min="7937" max="7938" width="53.5546875" style="11" customWidth="1"/>
    <col min="7939" max="7966" width="13.21875" style="11" customWidth="1"/>
    <col min="7967" max="7967" width="14.109375" style="11"/>
    <col min="7968" max="7969" width="12.21875" style="11" customWidth="1"/>
    <col min="7970" max="7970" width="12.77734375" style="11" customWidth="1"/>
    <col min="7971" max="7972" width="14.77734375" style="11" customWidth="1"/>
    <col min="7973" max="7973" width="14.44140625" style="11" customWidth="1"/>
    <col min="7974" max="7974" width="17.21875" style="11" customWidth="1"/>
    <col min="7975" max="7975" width="9.6640625" style="11" customWidth="1"/>
    <col min="7976" max="7976" width="11.109375" style="11" customWidth="1"/>
    <col min="7977" max="7993" width="5.5546875" style="11" customWidth="1"/>
    <col min="7994" max="8192" width="14.109375" style="11"/>
    <col min="8193" max="8194" width="53.5546875" style="11" customWidth="1"/>
    <col min="8195" max="8222" width="13.21875" style="11" customWidth="1"/>
    <col min="8223" max="8223" width="14.109375" style="11"/>
    <col min="8224" max="8225" width="12.21875" style="11" customWidth="1"/>
    <col min="8226" max="8226" width="12.77734375" style="11" customWidth="1"/>
    <col min="8227" max="8228" width="14.77734375" style="11" customWidth="1"/>
    <col min="8229" max="8229" width="14.44140625" style="11" customWidth="1"/>
    <col min="8230" max="8230" width="17.21875" style="11" customWidth="1"/>
    <col min="8231" max="8231" width="9.6640625" style="11" customWidth="1"/>
    <col min="8232" max="8232" width="11.109375" style="11" customWidth="1"/>
    <col min="8233" max="8249" width="5.5546875" style="11" customWidth="1"/>
    <col min="8250" max="8448" width="14.109375" style="11"/>
    <col min="8449" max="8450" width="53.5546875" style="11" customWidth="1"/>
    <col min="8451" max="8478" width="13.21875" style="11" customWidth="1"/>
    <col min="8479" max="8479" width="14.109375" style="11"/>
    <col min="8480" max="8481" width="12.21875" style="11" customWidth="1"/>
    <col min="8482" max="8482" width="12.77734375" style="11" customWidth="1"/>
    <col min="8483" max="8484" width="14.77734375" style="11" customWidth="1"/>
    <col min="8485" max="8485" width="14.44140625" style="11" customWidth="1"/>
    <col min="8486" max="8486" width="17.21875" style="11" customWidth="1"/>
    <col min="8487" max="8487" width="9.6640625" style="11" customWidth="1"/>
    <col min="8488" max="8488" width="11.109375" style="11" customWidth="1"/>
    <col min="8489" max="8505" width="5.5546875" style="11" customWidth="1"/>
    <col min="8506" max="8704" width="14.109375" style="11"/>
    <col min="8705" max="8706" width="53.5546875" style="11" customWidth="1"/>
    <col min="8707" max="8734" width="13.21875" style="11" customWidth="1"/>
    <col min="8735" max="8735" width="14.109375" style="11"/>
    <col min="8736" max="8737" width="12.21875" style="11" customWidth="1"/>
    <col min="8738" max="8738" width="12.77734375" style="11" customWidth="1"/>
    <col min="8739" max="8740" width="14.77734375" style="11" customWidth="1"/>
    <col min="8741" max="8741" width="14.44140625" style="11" customWidth="1"/>
    <col min="8742" max="8742" width="17.21875" style="11" customWidth="1"/>
    <col min="8743" max="8743" width="9.6640625" style="11" customWidth="1"/>
    <col min="8744" max="8744" width="11.109375" style="11" customWidth="1"/>
    <col min="8745" max="8761" width="5.5546875" style="11" customWidth="1"/>
    <col min="8762" max="8960" width="14.109375" style="11"/>
    <col min="8961" max="8962" width="53.5546875" style="11" customWidth="1"/>
    <col min="8963" max="8990" width="13.21875" style="11" customWidth="1"/>
    <col min="8991" max="8991" width="14.109375" style="11"/>
    <col min="8992" max="8993" width="12.21875" style="11" customWidth="1"/>
    <col min="8994" max="8994" width="12.77734375" style="11" customWidth="1"/>
    <col min="8995" max="8996" width="14.77734375" style="11" customWidth="1"/>
    <col min="8997" max="8997" width="14.44140625" style="11" customWidth="1"/>
    <col min="8998" max="8998" width="17.21875" style="11" customWidth="1"/>
    <col min="8999" max="8999" width="9.6640625" style="11" customWidth="1"/>
    <col min="9000" max="9000" width="11.109375" style="11" customWidth="1"/>
    <col min="9001" max="9017" width="5.5546875" style="11" customWidth="1"/>
    <col min="9018" max="9216" width="14.109375" style="11"/>
    <col min="9217" max="9218" width="53.5546875" style="11" customWidth="1"/>
    <col min="9219" max="9246" width="13.21875" style="11" customWidth="1"/>
    <col min="9247" max="9247" width="14.109375" style="11"/>
    <col min="9248" max="9249" width="12.21875" style="11" customWidth="1"/>
    <col min="9250" max="9250" width="12.77734375" style="11" customWidth="1"/>
    <col min="9251" max="9252" width="14.77734375" style="11" customWidth="1"/>
    <col min="9253" max="9253" width="14.44140625" style="11" customWidth="1"/>
    <col min="9254" max="9254" width="17.21875" style="11" customWidth="1"/>
    <col min="9255" max="9255" width="9.6640625" style="11" customWidth="1"/>
    <col min="9256" max="9256" width="11.109375" style="11" customWidth="1"/>
    <col min="9257" max="9273" width="5.5546875" style="11" customWidth="1"/>
    <col min="9274" max="9472" width="14.109375" style="11"/>
    <col min="9473" max="9474" width="53.5546875" style="11" customWidth="1"/>
    <col min="9475" max="9502" width="13.21875" style="11" customWidth="1"/>
    <col min="9503" max="9503" width="14.109375" style="11"/>
    <col min="9504" max="9505" width="12.21875" style="11" customWidth="1"/>
    <col min="9506" max="9506" width="12.77734375" style="11" customWidth="1"/>
    <col min="9507" max="9508" width="14.77734375" style="11" customWidth="1"/>
    <col min="9509" max="9509" width="14.44140625" style="11" customWidth="1"/>
    <col min="9510" max="9510" width="17.21875" style="11" customWidth="1"/>
    <col min="9511" max="9511" width="9.6640625" style="11" customWidth="1"/>
    <col min="9512" max="9512" width="11.109375" style="11" customWidth="1"/>
    <col min="9513" max="9529" width="5.5546875" style="11" customWidth="1"/>
    <col min="9530" max="9728" width="14.109375" style="11"/>
    <col min="9729" max="9730" width="53.5546875" style="11" customWidth="1"/>
    <col min="9731" max="9758" width="13.21875" style="11" customWidth="1"/>
    <col min="9759" max="9759" width="14.109375" style="11"/>
    <col min="9760" max="9761" width="12.21875" style="11" customWidth="1"/>
    <col min="9762" max="9762" width="12.77734375" style="11" customWidth="1"/>
    <col min="9763" max="9764" width="14.77734375" style="11" customWidth="1"/>
    <col min="9765" max="9765" width="14.44140625" style="11" customWidth="1"/>
    <col min="9766" max="9766" width="17.21875" style="11" customWidth="1"/>
    <col min="9767" max="9767" width="9.6640625" style="11" customWidth="1"/>
    <col min="9768" max="9768" width="11.109375" style="11" customWidth="1"/>
    <col min="9769" max="9785" width="5.5546875" style="11" customWidth="1"/>
    <col min="9786" max="9984" width="14.109375" style="11"/>
    <col min="9985" max="9986" width="53.5546875" style="11" customWidth="1"/>
    <col min="9987" max="10014" width="13.21875" style="11" customWidth="1"/>
    <col min="10015" max="10015" width="14.109375" style="11"/>
    <col min="10016" max="10017" width="12.21875" style="11" customWidth="1"/>
    <col min="10018" max="10018" width="12.77734375" style="11" customWidth="1"/>
    <col min="10019" max="10020" width="14.77734375" style="11" customWidth="1"/>
    <col min="10021" max="10021" width="14.44140625" style="11" customWidth="1"/>
    <col min="10022" max="10022" width="17.21875" style="11" customWidth="1"/>
    <col min="10023" max="10023" width="9.6640625" style="11" customWidth="1"/>
    <col min="10024" max="10024" width="11.109375" style="11" customWidth="1"/>
    <col min="10025" max="10041" width="5.5546875" style="11" customWidth="1"/>
    <col min="10042" max="10240" width="14.109375" style="11"/>
    <col min="10241" max="10242" width="53.5546875" style="11" customWidth="1"/>
    <col min="10243" max="10270" width="13.21875" style="11" customWidth="1"/>
    <col min="10271" max="10271" width="14.109375" style="11"/>
    <col min="10272" max="10273" width="12.21875" style="11" customWidth="1"/>
    <col min="10274" max="10274" width="12.77734375" style="11" customWidth="1"/>
    <col min="10275" max="10276" width="14.77734375" style="11" customWidth="1"/>
    <col min="10277" max="10277" width="14.44140625" style="11" customWidth="1"/>
    <col min="10278" max="10278" width="17.21875" style="11" customWidth="1"/>
    <col min="10279" max="10279" width="9.6640625" style="11" customWidth="1"/>
    <col min="10280" max="10280" width="11.109375" style="11" customWidth="1"/>
    <col min="10281" max="10297" width="5.5546875" style="11" customWidth="1"/>
    <col min="10298" max="10496" width="14.109375" style="11"/>
    <col min="10497" max="10498" width="53.5546875" style="11" customWidth="1"/>
    <col min="10499" max="10526" width="13.21875" style="11" customWidth="1"/>
    <col min="10527" max="10527" width="14.109375" style="11"/>
    <col min="10528" max="10529" width="12.21875" style="11" customWidth="1"/>
    <col min="10530" max="10530" width="12.77734375" style="11" customWidth="1"/>
    <col min="10531" max="10532" width="14.77734375" style="11" customWidth="1"/>
    <col min="10533" max="10533" width="14.44140625" style="11" customWidth="1"/>
    <col min="10534" max="10534" width="17.21875" style="11" customWidth="1"/>
    <col min="10535" max="10535" width="9.6640625" style="11" customWidth="1"/>
    <col min="10536" max="10536" width="11.109375" style="11" customWidth="1"/>
    <col min="10537" max="10553" width="5.5546875" style="11" customWidth="1"/>
    <col min="10554" max="10752" width="14.109375" style="11"/>
    <col min="10753" max="10754" width="53.5546875" style="11" customWidth="1"/>
    <col min="10755" max="10782" width="13.21875" style="11" customWidth="1"/>
    <col min="10783" max="10783" width="14.109375" style="11"/>
    <col min="10784" max="10785" width="12.21875" style="11" customWidth="1"/>
    <col min="10786" max="10786" width="12.77734375" style="11" customWidth="1"/>
    <col min="10787" max="10788" width="14.77734375" style="11" customWidth="1"/>
    <col min="10789" max="10789" width="14.44140625" style="11" customWidth="1"/>
    <col min="10790" max="10790" width="17.21875" style="11" customWidth="1"/>
    <col min="10791" max="10791" width="9.6640625" style="11" customWidth="1"/>
    <col min="10792" max="10792" width="11.109375" style="11" customWidth="1"/>
    <col min="10793" max="10809" width="5.5546875" style="11" customWidth="1"/>
    <col min="10810" max="11008" width="14.109375" style="11"/>
    <col min="11009" max="11010" width="53.5546875" style="11" customWidth="1"/>
    <col min="11011" max="11038" width="13.21875" style="11" customWidth="1"/>
    <col min="11039" max="11039" width="14.109375" style="11"/>
    <col min="11040" max="11041" width="12.21875" style="11" customWidth="1"/>
    <col min="11042" max="11042" width="12.77734375" style="11" customWidth="1"/>
    <col min="11043" max="11044" width="14.77734375" style="11" customWidth="1"/>
    <col min="11045" max="11045" width="14.44140625" style="11" customWidth="1"/>
    <col min="11046" max="11046" width="17.21875" style="11" customWidth="1"/>
    <col min="11047" max="11047" width="9.6640625" style="11" customWidth="1"/>
    <col min="11048" max="11048" width="11.109375" style="11" customWidth="1"/>
    <col min="11049" max="11065" width="5.5546875" style="11" customWidth="1"/>
    <col min="11066" max="11264" width="14.109375" style="11"/>
    <col min="11265" max="11266" width="53.5546875" style="11" customWidth="1"/>
    <col min="11267" max="11294" width="13.21875" style="11" customWidth="1"/>
    <col min="11295" max="11295" width="14.109375" style="11"/>
    <col min="11296" max="11297" width="12.21875" style="11" customWidth="1"/>
    <col min="11298" max="11298" width="12.77734375" style="11" customWidth="1"/>
    <col min="11299" max="11300" width="14.77734375" style="11" customWidth="1"/>
    <col min="11301" max="11301" width="14.44140625" style="11" customWidth="1"/>
    <col min="11302" max="11302" width="17.21875" style="11" customWidth="1"/>
    <col min="11303" max="11303" width="9.6640625" style="11" customWidth="1"/>
    <col min="11304" max="11304" width="11.109375" style="11" customWidth="1"/>
    <col min="11305" max="11321" width="5.5546875" style="11" customWidth="1"/>
    <col min="11322" max="11520" width="14.109375" style="11"/>
    <col min="11521" max="11522" width="53.5546875" style="11" customWidth="1"/>
    <col min="11523" max="11550" width="13.21875" style="11" customWidth="1"/>
    <col min="11551" max="11551" width="14.109375" style="11"/>
    <col min="11552" max="11553" width="12.21875" style="11" customWidth="1"/>
    <col min="11554" max="11554" width="12.77734375" style="11" customWidth="1"/>
    <col min="11555" max="11556" width="14.77734375" style="11" customWidth="1"/>
    <col min="11557" max="11557" width="14.44140625" style="11" customWidth="1"/>
    <col min="11558" max="11558" width="17.21875" style="11" customWidth="1"/>
    <col min="11559" max="11559" width="9.6640625" style="11" customWidth="1"/>
    <col min="11560" max="11560" width="11.109375" style="11" customWidth="1"/>
    <col min="11561" max="11577" width="5.5546875" style="11" customWidth="1"/>
    <col min="11578" max="11776" width="14.109375" style="11"/>
    <col min="11777" max="11778" width="53.5546875" style="11" customWidth="1"/>
    <col min="11779" max="11806" width="13.21875" style="11" customWidth="1"/>
    <col min="11807" max="11807" width="14.109375" style="11"/>
    <col min="11808" max="11809" width="12.21875" style="11" customWidth="1"/>
    <col min="11810" max="11810" width="12.77734375" style="11" customWidth="1"/>
    <col min="11811" max="11812" width="14.77734375" style="11" customWidth="1"/>
    <col min="11813" max="11813" width="14.44140625" style="11" customWidth="1"/>
    <col min="11814" max="11814" width="17.21875" style="11" customWidth="1"/>
    <col min="11815" max="11815" width="9.6640625" style="11" customWidth="1"/>
    <col min="11816" max="11816" width="11.109375" style="11" customWidth="1"/>
    <col min="11817" max="11833" width="5.5546875" style="11" customWidth="1"/>
    <col min="11834" max="12032" width="14.109375" style="11"/>
    <col min="12033" max="12034" width="53.5546875" style="11" customWidth="1"/>
    <col min="12035" max="12062" width="13.21875" style="11" customWidth="1"/>
    <col min="12063" max="12063" width="14.109375" style="11"/>
    <col min="12064" max="12065" width="12.21875" style="11" customWidth="1"/>
    <col min="12066" max="12066" width="12.77734375" style="11" customWidth="1"/>
    <col min="12067" max="12068" width="14.77734375" style="11" customWidth="1"/>
    <col min="12069" max="12069" width="14.44140625" style="11" customWidth="1"/>
    <col min="12070" max="12070" width="17.21875" style="11" customWidth="1"/>
    <col min="12071" max="12071" width="9.6640625" style="11" customWidth="1"/>
    <col min="12072" max="12072" width="11.109375" style="11" customWidth="1"/>
    <col min="12073" max="12089" width="5.5546875" style="11" customWidth="1"/>
    <col min="12090" max="12288" width="14.109375" style="11"/>
    <col min="12289" max="12290" width="53.5546875" style="11" customWidth="1"/>
    <col min="12291" max="12318" width="13.21875" style="11" customWidth="1"/>
    <col min="12319" max="12319" width="14.109375" style="11"/>
    <col min="12320" max="12321" width="12.21875" style="11" customWidth="1"/>
    <col min="12322" max="12322" width="12.77734375" style="11" customWidth="1"/>
    <col min="12323" max="12324" width="14.77734375" style="11" customWidth="1"/>
    <col min="12325" max="12325" width="14.44140625" style="11" customWidth="1"/>
    <col min="12326" max="12326" width="17.21875" style="11" customWidth="1"/>
    <col min="12327" max="12327" width="9.6640625" style="11" customWidth="1"/>
    <col min="12328" max="12328" width="11.109375" style="11" customWidth="1"/>
    <col min="12329" max="12345" width="5.5546875" style="11" customWidth="1"/>
    <col min="12346" max="12544" width="14.109375" style="11"/>
    <col min="12545" max="12546" width="53.5546875" style="11" customWidth="1"/>
    <col min="12547" max="12574" width="13.21875" style="11" customWidth="1"/>
    <col min="12575" max="12575" width="14.109375" style="11"/>
    <col min="12576" max="12577" width="12.21875" style="11" customWidth="1"/>
    <col min="12578" max="12578" width="12.77734375" style="11" customWidth="1"/>
    <col min="12579" max="12580" width="14.77734375" style="11" customWidth="1"/>
    <col min="12581" max="12581" width="14.44140625" style="11" customWidth="1"/>
    <col min="12582" max="12582" width="17.21875" style="11" customWidth="1"/>
    <col min="12583" max="12583" width="9.6640625" style="11" customWidth="1"/>
    <col min="12584" max="12584" width="11.109375" style="11" customWidth="1"/>
    <col min="12585" max="12601" width="5.5546875" style="11" customWidth="1"/>
    <col min="12602" max="12800" width="14.109375" style="11"/>
    <col min="12801" max="12802" width="53.5546875" style="11" customWidth="1"/>
    <col min="12803" max="12830" width="13.21875" style="11" customWidth="1"/>
    <col min="12831" max="12831" width="14.109375" style="11"/>
    <col min="12832" max="12833" width="12.21875" style="11" customWidth="1"/>
    <col min="12834" max="12834" width="12.77734375" style="11" customWidth="1"/>
    <col min="12835" max="12836" width="14.77734375" style="11" customWidth="1"/>
    <col min="12837" max="12837" width="14.44140625" style="11" customWidth="1"/>
    <col min="12838" max="12838" width="17.21875" style="11" customWidth="1"/>
    <col min="12839" max="12839" width="9.6640625" style="11" customWidth="1"/>
    <col min="12840" max="12840" width="11.109375" style="11" customWidth="1"/>
    <col min="12841" max="12857" width="5.5546875" style="11" customWidth="1"/>
    <col min="12858" max="13056" width="14.109375" style="11"/>
    <col min="13057" max="13058" width="53.5546875" style="11" customWidth="1"/>
    <col min="13059" max="13086" width="13.21875" style="11" customWidth="1"/>
    <col min="13087" max="13087" width="14.109375" style="11"/>
    <col min="13088" max="13089" width="12.21875" style="11" customWidth="1"/>
    <col min="13090" max="13090" width="12.77734375" style="11" customWidth="1"/>
    <col min="13091" max="13092" width="14.77734375" style="11" customWidth="1"/>
    <col min="13093" max="13093" width="14.44140625" style="11" customWidth="1"/>
    <col min="13094" max="13094" width="17.21875" style="11" customWidth="1"/>
    <col min="13095" max="13095" width="9.6640625" style="11" customWidth="1"/>
    <col min="13096" max="13096" width="11.109375" style="11" customWidth="1"/>
    <col min="13097" max="13113" width="5.5546875" style="11" customWidth="1"/>
    <col min="13114" max="13312" width="14.109375" style="11"/>
    <col min="13313" max="13314" width="53.5546875" style="11" customWidth="1"/>
    <col min="13315" max="13342" width="13.21875" style="11" customWidth="1"/>
    <col min="13343" max="13343" width="14.109375" style="11"/>
    <col min="13344" max="13345" width="12.21875" style="11" customWidth="1"/>
    <col min="13346" max="13346" width="12.77734375" style="11" customWidth="1"/>
    <col min="13347" max="13348" width="14.77734375" style="11" customWidth="1"/>
    <col min="13349" max="13349" width="14.44140625" style="11" customWidth="1"/>
    <col min="13350" max="13350" width="17.21875" style="11" customWidth="1"/>
    <col min="13351" max="13351" width="9.6640625" style="11" customWidth="1"/>
    <col min="13352" max="13352" width="11.109375" style="11" customWidth="1"/>
    <col min="13353" max="13369" width="5.5546875" style="11" customWidth="1"/>
    <col min="13370" max="13568" width="14.109375" style="11"/>
    <col min="13569" max="13570" width="53.5546875" style="11" customWidth="1"/>
    <col min="13571" max="13598" width="13.21875" style="11" customWidth="1"/>
    <col min="13599" max="13599" width="14.109375" style="11"/>
    <col min="13600" max="13601" width="12.21875" style="11" customWidth="1"/>
    <col min="13602" max="13602" width="12.77734375" style="11" customWidth="1"/>
    <col min="13603" max="13604" width="14.77734375" style="11" customWidth="1"/>
    <col min="13605" max="13605" width="14.44140625" style="11" customWidth="1"/>
    <col min="13606" max="13606" width="17.21875" style="11" customWidth="1"/>
    <col min="13607" max="13607" width="9.6640625" style="11" customWidth="1"/>
    <col min="13608" max="13608" width="11.109375" style="11" customWidth="1"/>
    <col min="13609" max="13625" width="5.5546875" style="11" customWidth="1"/>
    <col min="13626" max="13824" width="14.109375" style="11"/>
    <col min="13825" max="13826" width="53.5546875" style="11" customWidth="1"/>
    <col min="13827" max="13854" width="13.21875" style="11" customWidth="1"/>
    <col min="13855" max="13855" width="14.109375" style="11"/>
    <col min="13856" max="13857" width="12.21875" style="11" customWidth="1"/>
    <col min="13858" max="13858" width="12.77734375" style="11" customWidth="1"/>
    <col min="13859" max="13860" width="14.77734375" style="11" customWidth="1"/>
    <col min="13861" max="13861" width="14.44140625" style="11" customWidth="1"/>
    <col min="13862" max="13862" width="17.21875" style="11" customWidth="1"/>
    <col min="13863" max="13863" width="9.6640625" style="11" customWidth="1"/>
    <col min="13864" max="13864" width="11.109375" style="11" customWidth="1"/>
    <col min="13865" max="13881" width="5.5546875" style="11" customWidth="1"/>
    <col min="13882" max="14080" width="14.109375" style="11"/>
    <col min="14081" max="14082" width="53.5546875" style="11" customWidth="1"/>
    <col min="14083" max="14110" width="13.21875" style="11" customWidth="1"/>
    <col min="14111" max="14111" width="14.109375" style="11"/>
    <col min="14112" max="14113" width="12.21875" style="11" customWidth="1"/>
    <col min="14114" max="14114" width="12.77734375" style="11" customWidth="1"/>
    <col min="14115" max="14116" width="14.77734375" style="11" customWidth="1"/>
    <col min="14117" max="14117" width="14.44140625" style="11" customWidth="1"/>
    <col min="14118" max="14118" width="17.21875" style="11" customWidth="1"/>
    <col min="14119" max="14119" width="9.6640625" style="11" customWidth="1"/>
    <col min="14120" max="14120" width="11.109375" style="11" customWidth="1"/>
    <col min="14121" max="14137" width="5.5546875" style="11" customWidth="1"/>
    <col min="14138" max="14336" width="14.109375" style="11"/>
    <col min="14337" max="14338" width="53.5546875" style="11" customWidth="1"/>
    <col min="14339" max="14366" width="13.21875" style="11" customWidth="1"/>
    <col min="14367" max="14367" width="14.109375" style="11"/>
    <col min="14368" max="14369" width="12.21875" style="11" customWidth="1"/>
    <col min="14370" max="14370" width="12.77734375" style="11" customWidth="1"/>
    <col min="14371" max="14372" width="14.77734375" style="11" customWidth="1"/>
    <col min="14373" max="14373" width="14.44140625" style="11" customWidth="1"/>
    <col min="14374" max="14374" width="17.21875" style="11" customWidth="1"/>
    <col min="14375" max="14375" width="9.6640625" style="11" customWidth="1"/>
    <col min="14376" max="14376" width="11.109375" style="11" customWidth="1"/>
    <col min="14377" max="14393" width="5.5546875" style="11" customWidth="1"/>
    <col min="14394" max="14592" width="14.109375" style="11"/>
    <col min="14593" max="14594" width="53.5546875" style="11" customWidth="1"/>
    <col min="14595" max="14622" width="13.21875" style="11" customWidth="1"/>
    <col min="14623" max="14623" width="14.109375" style="11"/>
    <col min="14624" max="14625" width="12.21875" style="11" customWidth="1"/>
    <col min="14626" max="14626" width="12.77734375" style="11" customWidth="1"/>
    <col min="14627" max="14628" width="14.77734375" style="11" customWidth="1"/>
    <col min="14629" max="14629" width="14.44140625" style="11" customWidth="1"/>
    <col min="14630" max="14630" width="17.21875" style="11" customWidth="1"/>
    <col min="14631" max="14631" width="9.6640625" style="11" customWidth="1"/>
    <col min="14632" max="14632" width="11.109375" style="11" customWidth="1"/>
    <col min="14633" max="14649" width="5.5546875" style="11" customWidth="1"/>
    <col min="14650" max="14848" width="14.109375" style="11"/>
    <col min="14849" max="14850" width="53.5546875" style="11" customWidth="1"/>
    <col min="14851" max="14878" width="13.21875" style="11" customWidth="1"/>
    <col min="14879" max="14879" width="14.109375" style="11"/>
    <col min="14880" max="14881" width="12.21875" style="11" customWidth="1"/>
    <col min="14882" max="14882" width="12.77734375" style="11" customWidth="1"/>
    <col min="14883" max="14884" width="14.77734375" style="11" customWidth="1"/>
    <col min="14885" max="14885" width="14.44140625" style="11" customWidth="1"/>
    <col min="14886" max="14886" width="17.21875" style="11" customWidth="1"/>
    <col min="14887" max="14887" width="9.6640625" style="11" customWidth="1"/>
    <col min="14888" max="14888" width="11.109375" style="11" customWidth="1"/>
    <col min="14889" max="14905" width="5.5546875" style="11" customWidth="1"/>
    <col min="14906" max="15104" width="14.109375" style="11"/>
    <col min="15105" max="15106" width="53.5546875" style="11" customWidth="1"/>
    <col min="15107" max="15134" width="13.21875" style="11" customWidth="1"/>
    <col min="15135" max="15135" width="14.109375" style="11"/>
    <col min="15136" max="15137" width="12.21875" style="11" customWidth="1"/>
    <col min="15138" max="15138" width="12.77734375" style="11" customWidth="1"/>
    <col min="15139" max="15140" width="14.77734375" style="11" customWidth="1"/>
    <col min="15141" max="15141" width="14.44140625" style="11" customWidth="1"/>
    <col min="15142" max="15142" width="17.21875" style="11" customWidth="1"/>
    <col min="15143" max="15143" width="9.6640625" style="11" customWidth="1"/>
    <col min="15144" max="15144" width="11.109375" style="11" customWidth="1"/>
    <col min="15145" max="15161" width="5.5546875" style="11" customWidth="1"/>
    <col min="15162" max="15360" width="14.109375" style="11"/>
    <col min="15361" max="15362" width="53.5546875" style="11" customWidth="1"/>
    <col min="15363" max="15390" width="13.21875" style="11" customWidth="1"/>
    <col min="15391" max="15391" width="14.109375" style="11"/>
    <col min="15392" max="15393" width="12.21875" style="11" customWidth="1"/>
    <col min="15394" max="15394" width="12.77734375" style="11" customWidth="1"/>
    <col min="15395" max="15396" width="14.77734375" style="11" customWidth="1"/>
    <col min="15397" max="15397" width="14.44140625" style="11" customWidth="1"/>
    <col min="15398" max="15398" width="17.21875" style="11" customWidth="1"/>
    <col min="15399" max="15399" width="9.6640625" style="11" customWidth="1"/>
    <col min="15400" max="15400" width="11.109375" style="11" customWidth="1"/>
    <col min="15401" max="15417" width="5.5546875" style="11" customWidth="1"/>
    <col min="15418" max="15616" width="14.109375" style="11"/>
    <col min="15617" max="15618" width="53.5546875" style="11" customWidth="1"/>
    <col min="15619" max="15646" width="13.21875" style="11" customWidth="1"/>
    <col min="15647" max="15647" width="14.109375" style="11"/>
    <col min="15648" max="15649" width="12.21875" style="11" customWidth="1"/>
    <col min="15650" max="15650" width="12.77734375" style="11" customWidth="1"/>
    <col min="15651" max="15652" width="14.77734375" style="11" customWidth="1"/>
    <col min="15653" max="15653" width="14.44140625" style="11" customWidth="1"/>
    <col min="15654" max="15654" width="17.21875" style="11" customWidth="1"/>
    <col min="15655" max="15655" width="9.6640625" style="11" customWidth="1"/>
    <col min="15656" max="15656" width="11.109375" style="11" customWidth="1"/>
    <col min="15657" max="15673" width="5.5546875" style="11" customWidth="1"/>
    <col min="15674" max="15872" width="14.109375" style="11"/>
    <col min="15873" max="15874" width="53.5546875" style="11" customWidth="1"/>
    <col min="15875" max="15902" width="13.21875" style="11" customWidth="1"/>
    <col min="15903" max="15903" width="14.109375" style="11"/>
    <col min="15904" max="15905" width="12.21875" style="11" customWidth="1"/>
    <col min="15906" max="15906" width="12.77734375" style="11" customWidth="1"/>
    <col min="15907" max="15908" width="14.77734375" style="11" customWidth="1"/>
    <col min="15909" max="15909" width="14.44140625" style="11" customWidth="1"/>
    <col min="15910" max="15910" width="17.21875" style="11" customWidth="1"/>
    <col min="15911" max="15911" width="9.6640625" style="11" customWidth="1"/>
    <col min="15912" max="15912" width="11.109375" style="11" customWidth="1"/>
    <col min="15913" max="15929" width="5.5546875" style="11" customWidth="1"/>
    <col min="15930" max="16128" width="14.109375" style="11"/>
    <col min="16129" max="16130" width="53.5546875" style="11" customWidth="1"/>
    <col min="16131" max="16158" width="13.21875" style="11" customWidth="1"/>
    <col min="16159" max="16159" width="14.109375" style="11"/>
    <col min="16160" max="16161" width="12.21875" style="11" customWidth="1"/>
    <col min="16162" max="16162" width="12.77734375" style="11" customWidth="1"/>
    <col min="16163" max="16164" width="14.77734375" style="11" customWidth="1"/>
    <col min="16165" max="16165" width="14.44140625" style="11" customWidth="1"/>
    <col min="16166" max="16166" width="17.21875" style="11" customWidth="1"/>
    <col min="16167" max="16167" width="9.6640625" style="11" customWidth="1"/>
    <col min="16168" max="16168" width="11.109375" style="11" customWidth="1"/>
    <col min="16169" max="16185" width="5.5546875" style="11" customWidth="1"/>
    <col min="16186" max="16384" width="14.109375" style="11"/>
  </cols>
  <sheetData>
    <row r="2" spans="1:72" ht="15.6">
      <c r="A2" s="12" t="s">
        <v>120</v>
      </c>
      <c r="B2" s="13"/>
      <c r="C2" s="131"/>
      <c r="D2" s="131"/>
      <c r="E2" s="131"/>
      <c r="F2" s="131"/>
    </row>
    <row r="3" spans="1:72" ht="16.8">
      <c r="A3" s="12" t="s">
        <v>234</v>
      </c>
      <c r="B3" s="13"/>
      <c r="C3" s="195"/>
      <c r="D3" s="131"/>
      <c r="E3" s="131"/>
      <c r="F3" s="131"/>
      <c r="AH3" s="6"/>
      <c r="AI3" s="6"/>
      <c r="AJ3" s="6"/>
      <c r="AK3" s="6"/>
      <c r="AL3" s="6"/>
      <c r="AM3" s="6"/>
      <c r="AN3" s="14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</row>
    <row r="4" spans="1:72" ht="16.8">
      <c r="A4" s="13"/>
      <c r="B4" s="195"/>
      <c r="C4" s="195"/>
      <c r="D4" s="131"/>
      <c r="E4" s="131"/>
      <c r="F4" s="131"/>
      <c r="AH4" s="6"/>
      <c r="AI4" s="6"/>
      <c r="AJ4" s="6"/>
      <c r="AK4" s="6"/>
      <c r="AL4" s="6"/>
      <c r="AM4" s="6"/>
      <c r="AN4" s="14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</row>
    <row r="6" spans="1:72" ht="15.6">
      <c r="A6" s="15" t="s">
        <v>122</v>
      </c>
      <c r="B6" s="15"/>
      <c r="C6" s="15"/>
      <c r="D6" s="15"/>
      <c r="AH6" s="6"/>
      <c r="AI6" s="6"/>
      <c r="AJ6" s="6"/>
      <c r="AK6" s="6"/>
      <c r="AL6" s="6"/>
      <c r="AM6" s="17"/>
      <c r="AN6" s="18"/>
      <c r="AO6" s="18"/>
      <c r="AP6" s="18"/>
      <c r="AQ6" s="18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</row>
    <row r="7" spans="1:72">
      <c r="A7" s="15"/>
      <c r="B7" s="15"/>
      <c r="C7" s="15"/>
      <c r="D7" s="15"/>
    </row>
    <row r="9" spans="1:72" s="23" customFormat="1" ht="17.399999999999999">
      <c r="A9" s="19" t="s">
        <v>235</v>
      </c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2"/>
      <c r="Y9" s="22"/>
      <c r="Z9" s="22"/>
      <c r="AA9" s="22"/>
      <c r="AB9" s="22"/>
      <c r="AC9" s="22"/>
      <c r="AD9" s="22"/>
      <c r="AE9" s="22"/>
      <c r="AF9" s="22"/>
      <c r="AG9" s="22"/>
    </row>
    <row r="10" spans="1:72" ht="15.6" thickBot="1"/>
    <row r="11" spans="1:72" ht="15.6">
      <c r="A11" s="132"/>
      <c r="B11" s="133"/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8"/>
      <c r="Y11" s="28"/>
      <c r="Z11" s="28"/>
      <c r="AA11" s="28"/>
      <c r="AB11" s="28"/>
      <c r="AC11" s="28"/>
      <c r="AD11" s="28"/>
      <c r="AE11" s="134"/>
      <c r="AF11" s="134"/>
      <c r="AG11" s="134"/>
      <c r="AH11" s="134"/>
      <c r="AI11" s="135"/>
      <c r="AJ11" s="31"/>
      <c r="AK11" s="31"/>
      <c r="AL11" s="31"/>
    </row>
    <row r="12" spans="1:72" ht="15.6">
      <c r="A12" s="68"/>
      <c r="B12" s="71"/>
      <c r="C12" s="34" t="s">
        <v>48</v>
      </c>
      <c r="D12" s="35" t="s">
        <v>82</v>
      </c>
      <c r="E12" s="35" t="s">
        <v>83</v>
      </c>
      <c r="F12" s="35" t="s">
        <v>85</v>
      </c>
      <c r="G12" s="35" t="s">
        <v>86</v>
      </c>
      <c r="H12" s="35" t="s">
        <v>87</v>
      </c>
      <c r="I12" s="35" t="s">
        <v>88</v>
      </c>
      <c r="J12" s="35" t="s">
        <v>89</v>
      </c>
      <c r="K12" s="36" t="s">
        <v>124</v>
      </c>
      <c r="L12" s="36" t="s">
        <v>125</v>
      </c>
      <c r="M12" s="36" t="s">
        <v>126</v>
      </c>
      <c r="N12" s="36" t="s">
        <v>127</v>
      </c>
      <c r="O12" s="36" t="s">
        <v>128</v>
      </c>
      <c r="P12" s="37" t="s">
        <v>129</v>
      </c>
      <c r="Q12" s="36" t="s">
        <v>130</v>
      </c>
      <c r="R12" s="38" t="s">
        <v>131</v>
      </c>
      <c r="S12" s="38" t="s">
        <v>132</v>
      </c>
      <c r="T12" s="38" t="s">
        <v>133</v>
      </c>
      <c r="U12" s="38" t="s">
        <v>94</v>
      </c>
      <c r="V12" s="38" t="s">
        <v>98</v>
      </c>
      <c r="W12" s="38" t="s">
        <v>99</v>
      </c>
      <c r="X12" s="38" t="s">
        <v>100</v>
      </c>
      <c r="Y12" s="38" t="s">
        <v>101</v>
      </c>
      <c r="Z12" s="38" t="s">
        <v>102</v>
      </c>
      <c r="AA12" s="38" t="s">
        <v>104</v>
      </c>
      <c r="AB12" s="38" t="s">
        <v>105</v>
      </c>
      <c r="AC12" s="38" t="s">
        <v>106</v>
      </c>
      <c r="AD12" s="38" t="s">
        <v>107</v>
      </c>
      <c r="AE12" s="136" t="s">
        <v>108</v>
      </c>
      <c r="AF12" s="136" t="s">
        <v>112</v>
      </c>
      <c r="AG12" s="136" t="s">
        <v>113</v>
      </c>
      <c r="AH12" s="136" t="s">
        <v>114</v>
      </c>
      <c r="AI12" s="137" t="s">
        <v>115</v>
      </c>
      <c r="AJ12" s="42" t="s">
        <v>118</v>
      </c>
      <c r="AK12" s="42" t="s">
        <v>119</v>
      </c>
      <c r="AL12" s="42" t="s">
        <v>134</v>
      </c>
      <c r="AM12" s="6"/>
      <c r="AN12" s="6"/>
      <c r="AO12" s="6"/>
      <c r="AP12" s="9"/>
      <c r="AQ12" s="9"/>
      <c r="AR12" s="9"/>
      <c r="AS12" s="9"/>
      <c r="AT12" s="9"/>
      <c r="AU12" s="9"/>
      <c r="AV12" s="9"/>
      <c r="AW12" s="10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</row>
    <row r="13" spans="1:72" ht="15.6">
      <c r="A13" s="68"/>
      <c r="B13" s="71"/>
      <c r="C13" s="43"/>
      <c r="D13" s="44"/>
      <c r="E13" s="44"/>
      <c r="F13" s="44"/>
      <c r="G13" s="44"/>
      <c r="H13" s="44"/>
      <c r="I13" s="44"/>
      <c r="J13" s="44"/>
      <c r="K13" s="44"/>
      <c r="L13" s="35"/>
      <c r="M13" s="35"/>
      <c r="N13" s="44"/>
      <c r="O13" s="44"/>
      <c r="P13" s="35"/>
      <c r="Q13" s="44"/>
      <c r="R13" s="44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139"/>
      <c r="AG13" s="139"/>
      <c r="AH13" s="139"/>
      <c r="AI13" s="140"/>
      <c r="AJ13" s="46"/>
      <c r="AK13" s="46" t="s">
        <v>136</v>
      </c>
      <c r="AL13" s="46" t="s">
        <v>137</v>
      </c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10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9"/>
    </row>
    <row r="14" spans="1:72" ht="16.2" thickBot="1">
      <c r="A14" s="101"/>
      <c r="B14" s="87"/>
      <c r="C14" s="49" t="s">
        <v>138</v>
      </c>
      <c r="D14" s="50" t="s">
        <v>139</v>
      </c>
      <c r="E14" s="50" t="s">
        <v>140</v>
      </c>
      <c r="F14" s="50" t="s">
        <v>141</v>
      </c>
      <c r="G14" s="50" t="s">
        <v>142</v>
      </c>
      <c r="H14" s="50" t="s">
        <v>143</v>
      </c>
      <c r="I14" s="50" t="s">
        <v>144</v>
      </c>
      <c r="J14" s="50" t="s">
        <v>145</v>
      </c>
      <c r="K14" s="50" t="s">
        <v>146</v>
      </c>
      <c r="L14" s="50" t="s">
        <v>147</v>
      </c>
      <c r="M14" s="51" t="s">
        <v>148</v>
      </c>
      <c r="N14" s="51" t="s">
        <v>149</v>
      </c>
      <c r="O14" s="51" t="s">
        <v>150</v>
      </c>
      <c r="P14" s="51" t="s">
        <v>151</v>
      </c>
      <c r="Q14" s="51" t="s">
        <v>152</v>
      </c>
      <c r="R14" s="51" t="s">
        <v>153</v>
      </c>
      <c r="S14" s="51" t="s">
        <v>154</v>
      </c>
      <c r="T14" s="51" t="s">
        <v>155</v>
      </c>
      <c r="U14" s="51" t="s">
        <v>156</v>
      </c>
      <c r="V14" s="51" t="s">
        <v>157</v>
      </c>
      <c r="W14" s="51" t="s">
        <v>158</v>
      </c>
      <c r="X14" s="51" t="s">
        <v>159</v>
      </c>
      <c r="Y14" s="51" t="s">
        <v>160</v>
      </c>
      <c r="Z14" s="51" t="s">
        <v>161</v>
      </c>
      <c r="AA14" s="51" t="s">
        <v>162</v>
      </c>
      <c r="AB14" s="51" t="s">
        <v>163</v>
      </c>
      <c r="AC14" s="51" t="s">
        <v>164</v>
      </c>
      <c r="AD14" s="51" t="s">
        <v>165</v>
      </c>
      <c r="AE14" s="142" t="s">
        <v>166</v>
      </c>
      <c r="AF14" s="142" t="s">
        <v>167</v>
      </c>
      <c r="AG14" s="142" t="s">
        <v>168</v>
      </c>
      <c r="AH14" s="142" t="s">
        <v>169</v>
      </c>
      <c r="AI14" s="143" t="s">
        <v>170</v>
      </c>
      <c r="AJ14" s="42" t="s">
        <v>171</v>
      </c>
      <c r="AK14" s="144" t="s">
        <v>172</v>
      </c>
      <c r="AL14" s="144" t="s">
        <v>173</v>
      </c>
    </row>
    <row r="15" spans="1:72">
      <c r="A15" s="68"/>
      <c r="B15" s="71"/>
      <c r="C15" s="132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2"/>
      <c r="AH15" s="9"/>
      <c r="AI15" s="69"/>
      <c r="AJ15" s="196"/>
      <c r="AK15" s="70"/>
      <c r="AL15" s="70"/>
    </row>
    <row r="16" spans="1:72">
      <c r="A16" s="68" t="s">
        <v>183</v>
      </c>
      <c r="B16" s="7" t="s">
        <v>95</v>
      </c>
      <c r="C16" s="68"/>
      <c r="T16" s="6">
        <v>4.5</v>
      </c>
      <c r="U16" s="6">
        <v>7</v>
      </c>
      <c r="V16" s="6">
        <v>6</v>
      </c>
      <c r="W16" s="6">
        <v>9</v>
      </c>
      <c r="X16" s="6">
        <v>8</v>
      </c>
      <c r="Y16" s="6">
        <v>13</v>
      </c>
      <c r="Z16" s="6">
        <v>11.5</v>
      </c>
      <c r="AA16" s="6">
        <v>12.5</v>
      </c>
      <c r="AB16" s="6">
        <v>11.5</v>
      </c>
      <c r="AC16" s="6">
        <v>13</v>
      </c>
      <c r="AD16" s="6">
        <v>12.5</v>
      </c>
      <c r="AE16" s="6">
        <v>13.5</v>
      </c>
      <c r="AF16" s="6">
        <v>13</v>
      </c>
      <c r="AG16" s="6">
        <v>14.5</v>
      </c>
      <c r="AH16" s="6">
        <v>18</v>
      </c>
      <c r="AI16" s="64">
        <v>24</v>
      </c>
      <c r="AJ16" s="73">
        <v>26.5</v>
      </c>
      <c r="AK16" s="73">
        <v>23</v>
      </c>
      <c r="AL16" s="73">
        <v>23.5</v>
      </c>
      <c r="AM16" s="6"/>
      <c r="AN16" s="6"/>
    </row>
    <row r="17" spans="1:40">
      <c r="A17" s="68" t="s">
        <v>184</v>
      </c>
      <c r="B17" s="71" t="s">
        <v>49</v>
      </c>
      <c r="C17" s="68">
        <v>7</v>
      </c>
      <c r="D17" s="6">
        <v>27</v>
      </c>
      <c r="E17" s="6">
        <v>30</v>
      </c>
      <c r="F17" s="6">
        <v>25</v>
      </c>
      <c r="G17" s="6">
        <v>17.5</v>
      </c>
      <c r="H17" s="6">
        <v>36</v>
      </c>
      <c r="I17" s="6">
        <v>50</v>
      </c>
      <c r="J17" s="6">
        <v>31.5</v>
      </c>
      <c r="K17" s="6">
        <v>44</v>
      </c>
      <c r="L17" s="6">
        <v>42</v>
      </c>
      <c r="M17" s="6">
        <v>26</v>
      </c>
      <c r="N17" s="6">
        <v>25</v>
      </c>
      <c r="O17" s="6">
        <v>21</v>
      </c>
      <c r="P17" s="6">
        <v>60</v>
      </c>
      <c r="Q17" s="6">
        <v>38</v>
      </c>
      <c r="R17" s="6">
        <v>35</v>
      </c>
      <c r="S17" s="6">
        <v>23</v>
      </c>
      <c r="T17" s="6">
        <v>25</v>
      </c>
      <c r="U17" s="6">
        <v>55</v>
      </c>
      <c r="V17" s="6">
        <v>33.5</v>
      </c>
      <c r="W17" s="6">
        <v>59</v>
      </c>
      <c r="X17" s="6">
        <v>42.5</v>
      </c>
      <c r="Y17" s="6">
        <v>60.5</v>
      </c>
      <c r="Z17" s="6">
        <v>48.5</v>
      </c>
      <c r="AA17" s="6">
        <v>65</v>
      </c>
      <c r="AB17" s="6">
        <v>80</v>
      </c>
      <c r="AC17" s="6">
        <v>67</v>
      </c>
      <c r="AD17" s="6">
        <v>82.5</v>
      </c>
      <c r="AE17" s="6">
        <v>92</v>
      </c>
      <c r="AF17" s="6">
        <v>115</v>
      </c>
      <c r="AG17" s="6">
        <v>80</v>
      </c>
      <c r="AH17" s="6">
        <v>95</v>
      </c>
      <c r="AI17" s="64">
        <v>75</v>
      </c>
      <c r="AJ17" s="73">
        <v>72</v>
      </c>
      <c r="AK17" s="73">
        <v>90.5</v>
      </c>
      <c r="AL17" s="73">
        <v>80.5</v>
      </c>
      <c r="AM17" s="6"/>
      <c r="AN17" s="6"/>
    </row>
    <row r="18" spans="1:40">
      <c r="A18" s="68" t="s">
        <v>185</v>
      </c>
      <c r="B18" s="7" t="s">
        <v>75</v>
      </c>
      <c r="C18" s="68"/>
      <c r="W18" s="9"/>
      <c r="AH18" s="9">
        <v>36.5</v>
      </c>
      <c r="AI18" s="69">
        <v>66</v>
      </c>
      <c r="AJ18" s="93">
        <v>55.5</v>
      </c>
      <c r="AK18" s="145">
        <v>35</v>
      </c>
      <c r="AL18" s="145">
        <v>40</v>
      </c>
      <c r="AM18" s="6"/>
      <c r="AN18" s="6"/>
    </row>
    <row r="19" spans="1:40">
      <c r="A19" s="68" t="s">
        <v>186</v>
      </c>
      <c r="B19" s="7" t="s">
        <v>50</v>
      </c>
      <c r="C19" s="68">
        <v>4</v>
      </c>
      <c r="D19" s="6">
        <v>4</v>
      </c>
      <c r="E19" s="6">
        <v>4.5</v>
      </c>
      <c r="F19" s="6">
        <v>4</v>
      </c>
      <c r="G19" s="6">
        <v>3</v>
      </c>
      <c r="H19" s="6">
        <v>6</v>
      </c>
      <c r="I19" s="6">
        <v>8</v>
      </c>
      <c r="J19" s="6">
        <v>8</v>
      </c>
      <c r="K19" s="6">
        <v>8</v>
      </c>
      <c r="L19" s="6">
        <v>7</v>
      </c>
      <c r="M19" s="6">
        <v>6</v>
      </c>
      <c r="N19" s="6">
        <v>5.5</v>
      </c>
      <c r="O19" s="6">
        <v>5.5</v>
      </c>
      <c r="P19" s="6">
        <v>5.5</v>
      </c>
      <c r="Q19" s="6">
        <v>5</v>
      </c>
      <c r="R19" s="6">
        <v>5.5</v>
      </c>
      <c r="S19" s="6">
        <v>3</v>
      </c>
      <c r="T19" s="6">
        <v>7</v>
      </c>
      <c r="U19" s="6">
        <v>5</v>
      </c>
      <c r="V19" s="6">
        <v>5</v>
      </c>
      <c r="W19" s="6">
        <v>5.5</v>
      </c>
      <c r="X19" s="6">
        <v>6</v>
      </c>
      <c r="Y19" s="6">
        <v>6</v>
      </c>
      <c r="Z19" s="6">
        <v>6.5</v>
      </c>
      <c r="AA19" s="6">
        <v>6.5</v>
      </c>
      <c r="AB19" s="6">
        <v>7.5</v>
      </c>
      <c r="AC19" s="6">
        <v>7.5</v>
      </c>
      <c r="AD19" s="6">
        <v>8</v>
      </c>
      <c r="AE19" s="6">
        <v>7.5</v>
      </c>
      <c r="AF19" s="6">
        <v>7.5</v>
      </c>
      <c r="AG19" s="6">
        <v>7.5</v>
      </c>
      <c r="AH19" s="6">
        <v>7.5</v>
      </c>
      <c r="AI19" s="64">
        <v>7.5</v>
      </c>
      <c r="AJ19" s="72">
        <v>7.5</v>
      </c>
      <c r="AK19" s="72">
        <v>7.5</v>
      </c>
      <c r="AL19" s="72">
        <v>7.5</v>
      </c>
      <c r="AM19" s="6"/>
      <c r="AN19" s="6"/>
    </row>
    <row r="20" spans="1:40">
      <c r="A20" s="68" t="s">
        <v>187</v>
      </c>
      <c r="B20" s="71" t="s">
        <v>116</v>
      </c>
      <c r="C20" s="68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4">
        <v>2.5</v>
      </c>
      <c r="AJ20" s="73">
        <v>1</v>
      </c>
      <c r="AK20" s="73">
        <v>2.5</v>
      </c>
      <c r="AL20" s="73">
        <v>2</v>
      </c>
      <c r="AM20" s="6"/>
      <c r="AN20" s="6"/>
    </row>
    <row r="21" spans="1:40">
      <c r="A21" s="68" t="s">
        <v>188</v>
      </c>
      <c r="B21" s="71" t="s">
        <v>117</v>
      </c>
      <c r="C21" s="68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4">
        <v>0.5</v>
      </c>
      <c r="AJ21" s="73">
        <v>0.5</v>
      </c>
      <c r="AK21" s="73">
        <v>0.5</v>
      </c>
      <c r="AL21" s="73">
        <v>0.5</v>
      </c>
      <c r="AM21" s="6"/>
      <c r="AN21" s="6"/>
    </row>
    <row r="22" spans="1:40">
      <c r="A22" s="68" t="s">
        <v>174</v>
      </c>
      <c r="B22" s="71" t="s">
        <v>55</v>
      </c>
      <c r="C22" s="68">
        <v>2</v>
      </c>
      <c r="D22" s="6">
        <v>2</v>
      </c>
      <c r="E22" s="6">
        <v>2</v>
      </c>
      <c r="F22" s="6">
        <v>3</v>
      </c>
      <c r="G22" s="6">
        <v>3</v>
      </c>
      <c r="H22" s="6">
        <v>3</v>
      </c>
      <c r="I22" s="6">
        <v>2.5</v>
      </c>
      <c r="J22" s="6">
        <v>2</v>
      </c>
      <c r="K22" s="6">
        <v>2.5</v>
      </c>
      <c r="L22" s="6">
        <v>4</v>
      </c>
      <c r="M22" s="6">
        <v>5</v>
      </c>
      <c r="N22" s="6">
        <v>5.5</v>
      </c>
      <c r="O22" s="6">
        <v>6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4"/>
      <c r="AJ22" s="65"/>
      <c r="AK22" s="65"/>
      <c r="AL22" s="65"/>
      <c r="AM22" s="6"/>
      <c r="AN22" s="6"/>
    </row>
    <row r="23" spans="1:40">
      <c r="A23" s="68" t="s">
        <v>175</v>
      </c>
      <c r="B23" s="71" t="s">
        <v>90</v>
      </c>
      <c r="C23" s="68"/>
      <c r="J23" s="6">
        <v>2</v>
      </c>
      <c r="K23" s="6">
        <v>4</v>
      </c>
      <c r="L23" s="6">
        <v>8.5</v>
      </c>
      <c r="M23" s="6">
        <v>6.5</v>
      </c>
      <c r="N23" s="6">
        <v>5</v>
      </c>
      <c r="O23" s="6">
        <v>6.5</v>
      </c>
      <c r="P23" s="6">
        <v>4</v>
      </c>
      <c r="Q23" s="6">
        <v>4.5</v>
      </c>
      <c r="R23" s="6">
        <v>5</v>
      </c>
      <c r="S23" s="6">
        <v>5</v>
      </c>
      <c r="T23" s="6">
        <v>5</v>
      </c>
      <c r="U23" s="6">
        <v>7</v>
      </c>
      <c r="V23" s="6">
        <v>6.5</v>
      </c>
      <c r="W23" s="6">
        <v>7</v>
      </c>
      <c r="X23" s="6">
        <v>6</v>
      </c>
      <c r="Y23" s="6">
        <v>6</v>
      </c>
      <c r="Z23" s="6"/>
      <c r="AA23" s="6"/>
      <c r="AB23" s="6"/>
      <c r="AC23" s="6"/>
      <c r="AD23" s="6"/>
      <c r="AE23" s="6"/>
      <c r="AF23" s="6"/>
      <c r="AG23" s="6"/>
      <c r="AH23" s="6"/>
      <c r="AI23" s="64"/>
      <c r="AJ23" s="65"/>
      <c r="AK23" s="65"/>
      <c r="AL23" s="65"/>
      <c r="AM23" s="6"/>
      <c r="AN23" s="6"/>
    </row>
    <row r="24" spans="1:40">
      <c r="A24" s="68" t="s">
        <v>189</v>
      </c>
      <c r="B24" s="71" t="s">
        <v>56</v>
      </c>
      <c r="C24" s="68">
        <v>1.5</v>
      </c>
      <c r="D24" s="6">
        <v>1</v>
      </c>
      <c r="E24" s="6">
        <v>2</v>
      </c>
      <c r="F24" s="6">
        <v>1.5</v>
      </c>
      <c r="G24" s="6">
        <v>2</v>
      </c>
      <c r="H24" s="6">
        <v>2.5</v>
      </c>
      <c r="I24" s="6">
        <v>1</v>
      </c>
      <c r="J24" s="6">
        <v>1</v>
      </c>
      <c r="K24" s="6">
        <v>1</v>
      </c>
      <c r="L24" s="6">
        <v>1.5</v>
      </c>
      <c r="M24" s="6">
        <v>1</v>
      </c>
      <c r="N24" s="6">
        <v>1.5</v>
      </c>
      <c r="O24" s="6">
        <v>3.5</v>
      </c>
      <c r="P24" s="6">
        <v>2</v>
      </c>
      <c r="Q24" s="6">
        <v>2.5</v>
      </c>
      <c r="R24" s="6">
        <v>2</v>
      </c>
      <c r="S24" s="6">
        <v>8</v>
      </c>
      <c r="T24" s="6">
        <v>7</v>
      </c>
      <c r="U24" s="6">
        <v>5</v>
      </c>
      <c r="V24" s="6">
        <v>7</v>
      </c>
      <c r="W24" s="6">
        <v>5</v>
      </c>
      <c r="X24" s="6">
        <v>7.5</v>
      </c>
      <c r="Y24" s="6">
        <v>12</v>
      </c>
      <c r="Z24" s="6">
        <v>18.5</v>
      </c>
      <c r="AA24" s="6">
        <v>20</v>
      </c>
      <c r="AB24" s="6">
        <v>16.5</v>
      </c>
      <c r="AC24" s="6">
        <v>22</v>
      </c>
      <c r="AD24" s="6">
        <v>40</v>
      </c>
      <c r="AE24" s="6">
        <v>45</v>
      </c>
      <c r="AF24" s="6">
        <v>43</v>
      </c>
      <c r="AG24" s="6">
        <v>42</v>
      </c>
      <c r="AH24" s="6">
        <v>45</v>
      </c>
      <c r="AI24" s="64">
        <v>54</v>
      </c>
      <c r="AJ24" s="72">
        <v>50</v>
      </c>
      <c r="AK24" s="72">
        <v>45</v>
      </c>
      <c r="AL24" s="72">
        <v>50</v>
      </c>
      <c r="AM24" s="6"/>
      <c r="AN24" s="6"/>
    </row>
    <row r="25" spans="1:40">
      <c r="A25" s="68" t="s">
        <v>190</v>
      </c>
      <c r="B25" s="71" t="s">
        <v>109</v>
      </c>
      <c r="C25" s="68"/>
      <c r="X25" s="6"/>
      <c r="Y25" s="6"/>
      <c r="Z25" s="6"/>
      <c r="AA25" s="6"/>
      <c r="AB25" s="6"/>
      <c r="AC25" s="6"/>
      <c r="AD25" s="6"/>
      <c r="AE25" s="6">
        <v>0.5</v>
      </c>
      <c r="AF25" s="6">
        <v>0.5</v>
      </c>
      <c r="AG25" s="6">
        <v>0.5</v>
      </c>
      <c r="AH25" s="6">
        <v>0.5</v>
      </c>
      <c r="AI25" s="64">
        <v>0.5</v>
      </c>
      <c r="AJ25" s="73">
        <v>0.5</v>
      </c>
      <c r="AK25" s="73">
        <v>0.5</v>
      </c>
      <c r="AL25" s="73">
        <v>0.5</v>
      </c>
      <c r="AM25" s="6"/>
      <c r="AN25" s="6"/>
    </row>
    <row r="26" spans="1:40">
      <c r="A26" s="68" t="s">
        <v>60</v>
      </c>
      <c r="B26" s="71" t="s">
        <v>60</v>
      </c>
      <c r="C26" s="68">
        <v>2.5</v>
      </c>
      <c r="D26" s="6">
        <v>3</v>
      </c>
      <c r="E26" s="6">
        <v>2.5</v>
      </c>
      <c r="F26" s="6">
        <v>3.5</v>
      </c>
      <c r="G26" s="6">
        <v>2.5</v>
      </c>
      <c r="H26" s="6">
        <v>5</v>
      </c>
      <c r="I26" s="6">
        <v>3.5</v>
      </c>
      <c r="J26" s="6">
        <v>4</v>
      </c>
      <c r="K26" s="6">
        <v>2.5</v>
      </c>
      <c r="L26" s="6">
        <v>2.5</v>
      </c>
      <c r="M26" s="6">
        <v>3</v>
      </c>
      <c r="N26" s="6">
        <v>2</v>
      </c>
      <c r="O26" s="6">
        <v>1.5</v>
      </c>
      <c r="P26" s="6">
        <v>3.5</v>
      </c>
      <c r="Q26" s="6">
        <v>5</v>
      </c>
      <c r="R26" s="6">
        <v>6.5</v>
      </c>
      <c r="S26" s="6">
        <v>5.5</v>
      </c>
      <c r="T26" s="6">
        <v>7.5</v>
      </c>
      <c r="U26" s="6">
        <v>7</v>
      </c>
      <c r="V26" s="6">
        <v>6.5</v>
      </c>
      <c r="W26" s="6">
        <v>7.5</v>
      </c>
      <c r="X26" s="6">
        <v>11</v>
      </c>
      <c r="Y26" s="6">
        <v>8.5</v>
      </c>
      <c r="Z26" s="6">
        <v>10</v>
      </c>
      <c r="AA26" s="6">
        <v>9</v>
      </c>
      <c r="AB26" s="6">
        <v>10.5</v>
      </c>
      <c r="AC26" s="6">
        <v>8</v>
      </c>
      <c r="AD26" s="6">
        <v>10.5</v>
      </c>
      <c r="AE26" s="6">
        <v>14.5</v>
      </c>
      <c r="AF26" s="6">
        <v>11</v>
      </c>
      <c r="AG26" s="6">
        <v>11.5</v>
      </c>
      <c r="AH26" s="6">
        <v>17</v>
      </c>
      <c r="AI26" s="64">
        <v>14.5</v>
      </c>
      <c r="AJ26" s="72">
        <v>14.5</v>
      </c>
      <c r="AK26" s="72">
        <v>13</v>
      </c>
      <c r="AL26" s="72">
        <v>17</v>
      </c>
      <c r="AM26" s="6"/>
      <c r="AN26" s="6"/>
    </row>
    <row r="27" spans="1:40">
      <c r="A27" s="68" t="s">
        <v>191</v>
      </c>
      <c r="B27" s="7" t="s">
        <v>61</v>
      </c>
      <c r="C27" s="74"/>
      <c r="D27" s="10"/>
      <c r="E27" s="10"/>
      <c r="F27" s="10"/>
      <c r="G27" s="10"/>
      <c r="H27" s="10"/>
      <c r="I27" s="10"/>
      <c r="J27" s="10"/>
      <c r="K27" s="10"/>
      <c r="L27" s="10"/>
      <c r="R27" s="6">
        <v>0</v>
      </c>
      <c r="S27" s="6">
        <v>0</v>
      </c>
      <c r="T27" s="6">
        <v>0</v>
      </c>
      <c r="U27" s="6">
        <v>0</v>
      </c>
      <c r="V27" s="6">
        <v>8.5</v>
      </c>
      <c r="W27" s="6">
        <v>6</v>
      </c>
      <c r="X27" s="6">
        <v>6</v>
      </c>
      <c r="Y27" s="6">
        <v>6</v>
      </c>
      <c r="Z27" s="6">
        <v>6</v>
      </c>
      <c r="AA27" s="6">
        <v>1.5</v>
      </c>
      <c r="AB27" s="6">
        <v>1.5</v>
      </c>
      <c r="AC27" s="6">
        <v>1.5</v>
      </c>
      <c r="AD27" s="6">
        <v>1.5</v>
      </c>
      <c r="AE27" s="6">
        <v>1.5</v>
      </c>
      <c r="AF27" s="6">
        <v>1.5</v>
      </c>
      <c r="AG27" s="6">
        <v>1</v>
      </c>
      <c r="AH27" s="6">
        <v>1</v>
      </c>
      <c r="AI27" s="64">
        <v>1.5</v>
      </c>
      <c r="AJ27" s="72">
        <v>1.5</v>
      </c>
      <c r="AK27" s="73">
        <v>2</v>
      </c>
      <c r="AL27" s="73">
        <v>2</v>
      </c>
      <c r="AM27" s="6"/>
      <c r="AN27" s="6"/>
    </row>
    <row r="28" spans="1:40">
      <c r="A28" s="68" t="s">
        <v>192</v>
      </c>
      <c r="B28" s="71" t="s">
        <v>62</v>
      </c>
      <c r="C28" s="68">
        <v>6</v>
      </c>
      <c r="D28" s="6">
        <v>5</v>
      </c>
      <c r="E28" s="6">
        <v>5</v>
      </c>
      <c r="F28" s="6">
        <v>4.5</v>
      </c>
      <c r="G28" s="6">
        <v>7</v>
      </c>
      <c r="H28" s="6">
        <v>7.5</v>
      </c>
      <c r="I28" s="6">
        <v>7.5</v>
      </c>
      <c r="J28" s="6">
        <v>6.5</v>
      </c>
      <c r="K28" s="6">
        <v>9.5</v>
      </c>
      <c r="L28" s="6">
        <v>12.5</v>
      </c>
      <c r="M28" s="6">
        <v>13.5</v>
      </c>
      <c r="N28" s="6">
        <v>14.5</v>
      </c>
      <c r="O28" s="6">
        <v>15</v>
      </c>
      <c r="P28" s="6">
        <v>13.5</v>
      </c>
      <c r="Q28" s="6">
        <v>16</v>
      </c>
      <c r="R28" s="6">
        <v>16.5</v>
      </c>
      <c r="S28" s="6">
        <v>15</v>
      </c>
      <c r="T28" s="6">
        <v>16</v>
      </c>
      <c r="U28" s="6">
        <v>17</v>
      </c>
      <c r="V28" s="6">
        <v>16.5</v>
      </c>
      <c r="W28" s="6">
        <v>17</v>
      </c>
      <c r="X28" s="6">
        <v>15.5</v>
      </c>
      <c r="Y28" s="6">
        <v>19.5</v>
      </c>
      <c r="Z28" s="6">
        <v>20</v>
      </c>
      <c r="AA28" s="6">
        <v>20</v>
      </c>
      <c r="AB28" s="6">
        <v>20</v>
      </c>
      <c r="AC28" s="6">
        <v>21</v>
      </c>
      <c r="AD28" s="6">
        <v>21</v>
      </c>
      <c r="AE28" s="6">
        <v>25</v>
      </c>
      <c r="AF28" s="6">
        <v>28</v>
      </c>
      <c r="AG28" s="6">
        <v>25</v>
      </c>
      <c r="AH28" s="6">
        <v>24</v>
      </c>
      <c r="AI28" s="64">
        <v>31</v>
      </c>
      <c r="AJ28" s="73">
        <v>33</v>
      </c>
      <c r="AK28" s="72">
        <v>30</v>
      </c>
      <c r="AL28" s="73">
        <v>31.5</v>
      </c>
      <c r="AM28" s="6"/>
      <c r="AN28" s="6"/>
    </row>
    <row r="29" spans="1:40">
      <c r="A29" s="68" t="s">
        <v>193</v>
      </c>
      <c r="B29" s="71" t="s">
        <v>65</v>
      </c>
      <c r="C29" s="68">
        <v>9.5</v>
      </c>
      <c r="D29" s="6">
        <v>11.5</v>
      </c>
      <c r="E29" s="6">
        <v>17</v>
      </c>
      <c r="F29" s="6">
        <v>15.5</v>
      </c>
      <c r="G29" s="6">
        <v>21.5</v>
      </c>
      <c r="H29" s="6">
        <v>16</v>
      </c>
      <c r="I29" s="6">
        <v>22</v>
      </c>
      <c r="J29" s="6">
        <v>19</v>
      </c>
      <c r="K29" s="6">
        <v>19</v>
      </c>
      <c r="L29" s="6">
        <v>9</v>
      </c>
      <c r="M29" s="6">
        <v>17</v>
      </c>
      <c r="N29" s="6">
        <v>20</v>
      </c>
      <c r="O29" s="6">
        <v>25</v>
      </c>
      <c r="P29" s="6">
        <v>24</v>
      </c>
      <c r="Q29" s="6">
        <v>25</v>
      </c>
      <c r="R29" s="6">
        <v>19</v>
      </c>
      <c r="S29" s="6">
        <v>21</v>
      </c>
      <c r="T29" s="6">
        <v>23.5</v>
      </c>
      <c r="U29" s="6">
        <v>23.5</v>
      </c>
      <c r="V29" s="6">
        <v>20</v>
      </c>
      <c r="W29" s="6">
        <v>20</v>
      </c>
      <c r="X29" s="6">
        <v>17</v>
      </c>
      <c r="Y29" s="6">
        <v>20</v>
      </c>
      <c r="Z29" s="6">
        <v>25</v>
      </c>
      <c r="AA29" s="6">
        <v>22</v>
      </c>
      <c r="AB29" s="6">
        <v>29</v>
      </c>
      <c r="AC29" s="6">
        <v>19</v>
      </c>
      <c r="AD29" s="6">
        <v>22</v>
      </c>
      <c r="AE29" s="6">
        <v>21</v>
      </c>
      <c r="AF29" s="6">
        <v>34</v>
      </c>
      <c r="AG29" s="6">
        <v>21</v>
      </c>
      <c r="AH29" s="6">
        <v>19.5</v>
      </c>
      <c r="AI29" s="64">
        <v>22</v>
      </c>
      <c r="AJ29" s="72">
        <v>21</v>
      </c>
      <c r="AK29" s="72">
        <v>30</v>
      </c>
      <c r="AL29" s="72">
        <v>19.5</v>
      </c>
      <c r="AM29" s="6"/>
      <c r="AN29" s="6"/>
    </row>
    <row r="30" spans="1:40">
      <c r="A30" s="68" t="s">
        <v>194</v>
      </c>
      <c r="B30" s="71" t="s">
        <v>66</v>
      </c>
      <c r="C30" s="68">
        <v>7.5</v>
      </c>
      <c r="D30" s="6">
        <v>7</v>
      </c>
      <c r="E30" s="6">
        <v>7</v>
      </c>
      <c r="F30" s="6">
        <v>6.5</v>
      </c>
      <c r="G30" s="6">
        <v>7.5</v>
      </c>
      <c r="H30" s="6">
        <v>7</v>
      </c>
      <c r="I30" s="6">
        <v>8</v>
      </c>
      <c r="J30" s="6">
        <v>8</v>
      </c>
      <c r="K30" s="6">
        <v>9</v>
      </c>
      <c r="L30" s="6">
        <v>8</v>
      </c>
      <c r="M30" s="6">
        <v>8</v>
      </c>
      <c r="N30" s="6">
        <v>7</v>
      </c>
      <c r="O30" s="6">
        <v>4.5</v>
      </c>
      <c r="P30" s="6">
        <v>5</v>
      </c>
      <c r="Q30" s="6">
        <v>5</v>
      </c>
      <c r="R30" s="6">
        <v>5.5</v>
      </c>
      <c r="S30" s="6">
        <v>5</v>
      </c>
      <c r="T30" s="6">
        <v>9</v>
      </c>
      <c r="U30" s="6">
        <v>20</v>
      </c>
      <c r="V30" s="6">
        <v>9.5</v>
      </c>
      <c r="W30" s="6">
        <v>20</v>
      </c>
      <c r="X30" s="6">
        <v>20</v>
      </c>
      <c r="Y30" s="6">
        <v>20</v>
      </c>
      <c r="Z30" s="6">
        <v>18</v>
      </c>
      <c r="AA30" s="6">
        <v>18</v>
      </c>
      <c r="AB30" s="6">
        <v>18</v>
      </c>
      <c r="AC30" s="6">
        <v>20</v>
      </c>
      <c r="AD30" s="6">
        <v>20</v>
      </c>
      <c r="AE30" s="6">
        <v>11</v>
      </c>
      <c r="AF30" s="6">
        <v>7.5</v>
      </c>
      <c r="AG30" s="6">
        <v>7.5</v>
      </c>
      <c r="AH30" s="6">
        <v>13.5</v>
      </c>
      <c r="AI30" s="64">
        <v>22</v>
      </c>
      <c r="AJ30" s="72">
        <v>13</v>
      </c>
      <c r="AK30" s="73">
        <v>11.5</v>
      </c>
      <c r="AL30" s="73">
        <v>14.5</v>
      </c>
      <c r="AM30" s="6"/>
      <c r="AN30" s="6"/>
    </row>
    <row r="31" spans="1:40">
      <c r="A31" s="68" t="s">
        <v>195</v>
      </c>
      <c r="B31" s="71" t="s">
        <v>67</v>
      </c>
      <c r="C31" s="68">
        <v>13.5</v>
      </c>
      <c r="D31" s="6">
        <v>19</v>
      </c>
      <c r="E31" s="6">
        <v>9</v>
      </c>
      <c r="F31" s="6">
        <v>9.5</v>
      </c>
      <c r="G31" s="6">
        <v>8</v>
      </c>
      <c r="H31" s="6">
        <v>5</v>
      </c>
      <c r="I31" s="6">
        <v>10</v>
      </c>
      <c r="J31" s="6">
        <v>7</v>
      </c>
      <c r="K31" s="6">
        <v>16</v>
      </c>
      <c r="L31" s="6">
        <v>11</v>
      </c>
      <c r="M31" s="6">
        <v>7</v>
      </c>
      <c r="N31" s="6">
        <v>8</v>
      </c>
      <c r="O31" s="6">
        <v>8.5</v>
      </c>
      <c r="P31" s="6">
        <v>14.5</v>
      </c>
      <c r="Q31" s="6">
        <v>12</v>
      </c>
      <c r="R31" s="6">
        <v>9</v>
      </c>
      <c r="S31" s="6">
        <v>11</v>
      </c>
      <c r="T31" s="6">
        <v>13</v>
      </c>
      <c r="U31" s="6">
        <v>15</v>
      </c>
      <c r="V31" s="6">
        <v>15</v>
      </c>
      <c r="W31" s="6">
        <v>15</v>
      </c>
      <c r="X31" s="6">
        <v>15</v>
      </c>
      <c r="Y31" s="6">
        <v>15</v>
      </c>
      <c r="Z31" s="6">
        <v>15</v>
      </c>
      <c r="AA31" s="6">
        <v>15.5</v>
      </c>
      <c r="AB31" s="6">
        <v>18</v>
      </c>
      <c r="AC31" s="6">
        <v>16.5</v>
      </c>
      <c r="AD31" s="6">
        <v>18</v>
      </c>
      <c r="AE31" s="6">
        <v>16.5</v>
      </c>
      <c r="AF31" s="6">
        <v>17</v>
      </c>
      <c r="AG31" s="6">
        <v>16</v>
      </c>
      <c r="AH31" s="6">
        <v>17</v>
      </c>
      <c r="AI31" s="64">
        <v>16</v>
      </c>
      <c r="AJ31" s="73">
        <v>15.5</v>
      </c>
      <c r="AK31" s="73">
        <v>15.5</v>
      </c>
      <c r="AL31" s="73">
        <v>15.5</v>
      </c>
      <c r="AM31" s="6"/>
      <c r="AN31" s="6"/>
    </row>
    <row r="32" spans="1:40">
      <c r="A32" s="68" t="s">
        <v>196</v>
      </c>
      <c r="B32" s="71" t="s">
        <v>70</v>
      </c>
      <c r="C32" s="68">
        <v>37</v>
      </c>
      <c r="D32" s="6">
        <v>49</v>
      </c>
      <c r="E32" s="6">
        <v>40</v>
      </c>
      <c r="F32" s="6">
        <v>45.5</v>
      </c>
      <c r="G32" s="6">
        <v>43</v>
      </c>
      <c r="H32" s="6">
        <v>25</v>
      </c>
      <c r="I32" s="6">
        <v>50</v>
      </c>
      <c r="J32" s="6">
        <v>55</v>
      </c>
      <c r="K32" s="6">
        <v>55</v>
      </c>
      <c r="L32" s="6">
        <v>55</v>
      </c>
      <c r="M32" s="6">
        <v>45</v>
      </c>
      <c r="N32" s="6">
        <v>60</v>
      </c>
      <c r="O32" s="6">
        <v>60</v>
      </c>
      <c r="P32" s="6">
        <v>70</v>
      </c>
      <c r="Q32" s="6">
        <v>38</v>
      </c>
      <c r="R32" s="6">
        <v>55</v>
      </c>
      <c r="S32" s="6">
        <v>65</v>
      </c>
      <c r="T32" s="6">
        <v>65</v>
      </c>
      <c r="U32" s="6">
        <v>70</v>
      </c>
      <c r="V32" s="6">
        <v>90</v>
      </c>
      <c r="W32" s="6">
        <v>100</v>
      </c>
      <c r="X32" s="6">
        <v>122</v>
      </c>
      <c r="Y32" s="6">
        <v>129</v>
      </c>
      <c r="Z32" s="6">
        <v>120</v>
      </c>
      <c r="AA32" s="6">
        <v>120</v>
      </c>
      <c r="AB32" s="6">
        <v>120</v>
      </c>
      <c r="AC32" s="6">
        <v>120</v>
      </c>
      <c r="AD32" s="6">
        <v>120</v>
      </c>
      <c r="AE32" s="6">
        <v>150</v>
      </c>
      <c r="AF32" s="6">
        <v>140</v>
      </c>
      <c r="AG32" s="6">
        <v>140</v>
      </c>
      <c r="AH32" s="6">
        <v>170</v>
      </c>
      <c r="AI32" s="64">
        <v>150</v>
      </c>
      <c r="AJ32" s="72">
        <v>140</v>
      </c>
      <c r="AK32" s="72">
        <v>140</v>
      </c>
      <c r="AL32" s="73">
        <v>160</v>
      </c>
      <c r="AM32" s="6"/>
      <c r="AN32" s="6"/>
    </row>
    <row r="33" spans="1:71">
      <c r="A33" s="68" t="s">
        <v>69</v>
      </c>
      <c r="B33" s="71" t="s">
        <v>69</v>
      </c>
      <c r="C33" s="68">
        <v>6</v>
      </c>
      <c r="D33" s="6">
        <v>3</v>
      </c>
      <c r="E33" s="6">
        <v>1.5</v>
      </c>
      <c r="F33" s="6">
        <v>2</v>
      </c>
      <c r="G33" s="6">
        <v>2.5</v>
      </c>
      <c r="H33" s="6">
        <v>1.5</v>
      </c>
      <c r="I33" s="6">
        <v>0.5</v>
      </c>
      <c r="J33" s="6">
        <v>0.5</v>
      </c>
      <c r="K33" s="6">
        <v>1</v>
      </c>
      <c r="L33" s="6">
        <v>1</v>
      </c>
      <c r="M33" s="6">
        <v>0.5</v>
      </c>
      <c r="N33" s="6">
        <v>0.5</v>
      </c>
      <c r="O33" s="6">
        <v>0.5</v>
      </c>
      <c r="P33" s="6">
        <v>0.5</v>
      </c>
      <c r="Q33" s="6">
        <v>0.5</v>
      </c>
      <c r="R33" s="6">
        <v>0.5</v>
      </c>
      <c r="S33" s="6">
        <v>0.5</v>
      </c>
      <c r="T33" s="6">
        <v>0.5</v>
      </c>
      <c r="U33" s="6">
        <v>0.5</v>
      </c>
      <c r="V33" s="6">
        <v>0.5</v>
      </c>
      <c r="W33" s="6">
        <v>0.5</v>
      </c>
      <c r="X33" s="6">
        <v>0.5</v>
      </c>
      <c r="Y33" s="6">
        <v>0.5</v>
      </c>
      <c r="Z33" s="6">
        <v>0.5</v>
      </c>
      <c r="AA33" s="6">
        <v>0.5</v>
      </c>
      <c r="AB33" s="6">
        <v>0.5</v>
      </c>
      <c r="AC33" s="6">
        <v>0.5</v>
      </c>
      <c r="AD33" s="6">
        <v>0.5</v>
      </c>
      <c r="AE33" s="6">
        <v>0.5</v>
      </c>
      <c r="AF33" s="6">
        <v>0.5</v>
      </c>
      <c r="AG33" s="6">
        <v>0.5</v>
      </c>
      <c r="AH33" s="6">
        <v>1</v>
      </c>
      <c r="AI33" s="64">
        <v>0.5</v>
      </c>
      <c r="AJ33" s="73">
        <v>0.5</v>
      </c>
      <c r="AK33" s="73">
        <v>0.5</v>
      </c>
      <c r="AL33" s="73">
        <v>0.5</v>
      </c>
      <c r="AM33" s="6"/>
      <c r="AN33" s="6"/>
    </row>
    <row r="34" spans="1:71">
      <c r="A34" s="68" t="s">
        <v>110</v>
      </c>
      <c r="B34" s="71" t="s">
        <v>111</v>
      </c>
      <c r="C34" s="68"/>
      <c r="X34" s="6"/>
      <c r="Y34" s="6"/>
      <c r="Z34" s="6"/>
      <c r="AA34" s="6"/>
      <c r="AB34" s="6"/>
      <c r="AC34" s="6"/>
      <c r="AD34" s="6"/>
      <c r="AE34" s="6">
        <v>0</v>
      </c>
      <c r="AF34" s="6">
        <v>0.5</v>
      </c>
      <c r="AG34" s="6">
        <v>0.5</v>
      </c>
      <c r="AH34" s="6">
        <v>0.5</v>
      </c>
      <c r="AI34" s="64">
        <v>0.5</v>
      </c>
      <c r="AJ34" s="73">
        <v>1</v>
      </c>
      <c r="AK34" s="73">
        <v>0.5</v>
      </c>
      <c r="AL34" s="73">
        <v>0.5</v>
      </c>
      <c r="AM34" s="6"/>
      <c r="AN34" s="6"/>
    </row>
    <row r="35" spans="1:71">
      <c r="A35" s="68" t="s">
        <v>84</v>
      </c>
      <c r="B35" s="71" t="s">
        <v>84</v>
      </c>
      <c r="C35" s="68"/>
      <c r="E35" s="6">
        <v>10</v>
      </c>
      <c r="F35" s="6">
        <v>8</v>
      </c>
      <c r="G35" s="6">
        <v>5</v>
      </c>
      <c r="H35" s="6">
        <v>7</v>
      </c>
      <c r="I35" s="6">
        <v>6.5</v>
      </c>
      <c r="J35" s="6">
        <v>5.5</v>
      </c>
      <c r="K35" s="6">
        <v>4</v>
      </c>
      <c r="L35" s="6">
        <v>4</v>
      </c>
      <c r="M35" s="6">
        <v>8</v>
      </c>
      <c r="N35" s="6">
        <v>10</v>
      </c>
      <c r="O35" s="6">
        <v>12</v>
      </c>
      <c r="P35" s="6">
        <v>12</v>
      </c>
      <c r="Q35" s="6">
        <v>10</v>
      </c>
      <c r="R35" s="6">
        <v>10</v>
      </c>
      <c r="S35" s="6">
        <v>15</v>
      </c>
      <c r="T35" s="6">
        <v>13</v>
      </c>
      <c r="U35" s="6">
        <v>14</v>
      </c>
      <c r="V35" s="6">
        <v>8</v>
      </c>
      <c r="W35" s="6">
        <v>16</v>
      </c>
      <c r="X35" s="6">
        <v>13.5</v>
      </c>
      <c r="Y35" s="6">
        <v>13.5</v>
      </c>
      <c r="Z35" s="6">
        <v>15</v>
      </c>
      <c r="AA35" s="6">
        <v>17</v>
      </c>
      <c r="AB35" s="6">
        <v>17</v>
      </c>
      <c r="AC35" s="6">
        <v>15</v>
      </c>
      <c r="AD35" s="6">
        <v>15</v>
      </c>
      <c r="AE35" s="6">
        <v>12.5</v>
      </c>
      <c r="AF35" s="6">
        <v>17</v>
      </c>
      <c r="AG35" s="6">
        <v>16</v>
      </c>
      <c r="AH35" s="6">
        <v>17</v>
      </c>
      <c r="AI35" s="64">
        <v>17</v>
      </c>
      <c r="AJ35" s="72">
        <v>15</v>
      </c>
      <c r="AK35" s="72">
        <v>16</v>
      </c>
      <c r="AL35" s="72">
        <v>9</v>
      </c>
      <c r="AM35" s="6"/>
      <c r="AN35" s="6"/>
    </row>
    <row r="36" spans="1:71">
      <c r="A36" s="68" t="s">
        <v>197</v>
      </c>
      <c r="B36" s="71" t="s">
        <v>79</v>
      </c>
      <c r="C36" s="68">
        <v>54.5</v>
      </c>
      <c r="D36" s="6">
        <v>60</v>
      </c>
      <c r="E36" s="6">
        <v>60</v>
      </c>
      <c r="F36" s="6">
        <v>56</v>
      </c>
      <c r="G36" s="6">
        <v>46</v>
      </c>
      <c r="H36" s="6">
        <v>34.5</v>
      </c>
      <c r="I36" s="6">
        <v>70</v>
      </c>
      <c r="J36" s="6">
        <v>52</v>
      </c>
      <c r="K36" s="6">
        <v>49</v>
      </c>
      <c r="L36" s="6">
        <v>60</v>
      </c>
      <c r="M36" s="6">
        <v>58</v>
      </c>
      <c r="N36" s="6">
        <v>28</v>
      </c>
      <c r="O36" s="6">
        <v>30</v>
      </c>
      <c r="P36" s="6">
        <v>56</v>
      </c>
      <c r="Q36" s="6">
        <v>44</v>
      </c>
      <c r="R36" s="6">
        <v>38</v>
      </c>
      <c r="S36" s="6">
        <v>45</v>
      </c>
      <c r="T36" s="6">
        <v>50</v>
      </c>
      <c r="U36" s="6">
        <v>21</v>
      </c>
      <c r="V36" s="6">
        <v>30</v>
      </c>
      <c r="W36" s="6">
        <v>30</v>
      </c>
      <c r="X36" s="6">
        <v>35</v>
      </c>
      <c r="Y36" s="6">
        <v>40</v>
      </c>
      <c r="Z36" s="6">
        <v>37</v>
      </c>
      <c r="AA36" s="6">
        <v>30</v>
      </c>
      <c r="AB36" s="6">
        <v>35</v>
      </c>
      <c r="AC36" s="6">
        <v>21</v>
      </c>
      <c r="AD36" s="6">
        <v>40</v>
      </c>
      <c r="AE36" s="6">
        <v>40</v>
      </c>
      <c r="AF36" s="6">
        <v>38</v>
      </c>
      <c r="AG36" s="6">
        <v>30</v>
      </c>
      <c r="AH36" s="6">
        <v>30</v>
      </c>
      <c r="AI36" s="64">
        <v>30</v>
      </c>
      <c r="AJ36" s="72">
        <v>30</v>
      </c>
      <c r="AK36" s="72">
        <v>45</v>
      </c>
      <c r="AL36" s="73">
        <v>50</v>
      </c>
      <c r="AM36" s="6"/>
      <c r="AN36" s="6"/>
    </row>
    <row r="37" spans="1:71">
      <c r="A37" s="68" t="s">
        <v>198</v>
      </c>
      <c r="B37" s="71" t="s">
        <v>80</v>
      </c>
      <c r="C37" s="68">
        <v>55</v>
      </c>
      <c r="D37" s="6">
        <v>50</v>
      </c>
      <c r="E37" s="6">
        <v>50</v>
      </c>
      <c r="F37" s="6">
        <v>54</v>
      </c>
      <c r="G37" s="6">
        <v>55</v>
      </c>
      <c r="H37" s="6">
        <v>63</v>
      </c>
      <c r="I37" s="6">
        <v>75</v>
      </c>
      <c r="J37" s="6">
        <v>85.5</v>
      </c>
      <c r="K37" s="6">
        <v>85</v>
      </c>
      <c r="L37" s="6">
        <v>60</v>
      </c>
      <c r="M37" s="6">
        <v>72.5</v>
      </c>
      <c r="N37" s="6">
        <v>55</v>
      </c>
      <c r="O37" s="6">
        <v>50</v>
      </c>
      <c r="P37" s="6">
        <v>46</v>
      </c>
      <c r="Q37" s="6">
        <v>60</v>
      </c>
      <c r="R37" s="6">
        <v>50</v>
      </c>
      <c r="S37" s="6">
        <v>80</v>
      </c>
      <c r="T37" s="6">
        <v>85</v>
      </c>
      <c r="U37" s="6">
        <v>108</v>
      </c>
      <c r="V37" s="6">
        <v>110</v>
      </c>
      <c r="W37" s="6">
        <v>131</v>
      </c>
      <c r="X37" s="6">
        <v>150</v>
      </c>
      <c r="Y37" s="6">
        <v>150</v>
      </c>
      <c r="Z37" s="6">
        <v>105</v>
      </c>
      <c r="AA37" s="6">
        <v>125</v>
      </c>
      <c r="AB37" s="6">
        <v>116</v>
      </c>
      <c r="AC37" s="6">
        <v>150</v>
      </c>
      <c r="AD37" s="6">
        <v>176.5</v>
      </c>
      <c r="AE37" s="6">
        <v>163</v>
      </c>
      <c r="AF37" s="6">
        <v>170</v>
      </c>
      <c r="AG37" s="6">
        <v>150</v>
      </c>
      <c r="AH37" s="6">
        <v>170</v>
      </c>
      <c r="AI37" s="64">
        <v>165</v>
      </c>
      <c r="AJ37" s="72">
        <v>165</v>
      </c>
      <c r="AK37" s="72">
        <v>200</v>
      </c>
      <c r="AL37" s="72">
        <v>200</v>
      </c>
      <c r="AM37" s="6"/>
      <c r="AN37" s="6"/>
    </row>
    <row r="38" spans="1:71">
      <c r="A38" s="68" t="s">
        <v>199</v>
      </c>
      <c r="B38" s="71" t="s">
        <v>57</v>
      </c>
      <c r="C38" s="68">
        <v>1214.5</v>
      </c>
      <c r="D38" s="6">
        <v>1357</v>
      </c>
      <c r="E38" s="6">
        <v>1383.5</v>
      </c>
      <c r="F38" s="6">
        <v>1453.5</v>
      </c>
      <c r="G38" s="6">
        <v>1451</v>
      </c>
      <c r="H38" s="6">
        <v>1387</v>
      </c>
      <c r="I38" s="6">
        <v>1566.5</v>
      </c>
      <c r="J38" s="6">
        <v>1705.5</v>
      </c>
      <c r="K38" s="6">
        <v>1709</v>
      </c>
      <c r="L38" s="6">
        <v>1728</v>
      </c>
      <c r="M38" s="6">
        <v>1835</v>
      </c>
      <c r="N38" s="6">
        <v>1894.5</v>
      </c>
      <c r="O38" s="6">
        <v>1918.5</v>
      </c>
      <c r="P38" s="6">
        <v>1997.5</v>
      </c>
      <c r="Q38" s="6">
        <v>2079</v>
      </c>
      <c r="R38" s="6">
        <v>1918</v>
      </c>
      <c r="S38" s="6">
        <v>1905</v>
      </c>
      <c r="T38" s="6">
        <v>1866</v>
      </c>
      <c r="U38" s="6">
        <v>1856</v>
      </c>
      <c r="V38" s="6">
        <v>1846</v>
      </c>
      <c r="W38" s="6">
        <v>1866.5</v>
      </c>
      <c r="X38" s="6">
        <v>1790</v>
      </c>
      <c r="Y38" s="6">
        <v>1621</v>
      </c>
      <c r="Z38" s="6">
        <v>1731</v>
      </c>
      <c r="AA38" s="6">
        <v>1604.5</v>
      </c>
      <c r="AB38" s="6">
        <v>1660</v>
      </c>
      <c r="AC38" s="6">
        <v>1402</v>
      </c>
      <c r="AD38" s="6">
        <v>1595</v>
      </c>
      <c r="AE38" s="6">
        <v>1491.5</v>
      </c>
      <c r="AF38" s="6">
        <v>1520</v>
      </c>
      <c r="AG38" s="6">
        <v>1476.5</v>
      </c>
      <c r="AH38" s="6">
        <v>1548</v>
      </c>
      <c r="AI38" s="64">
        <v>1230</v>
      </c>
      <c r="AJ38" s="76">
        <v>1254</v>
      </c>
      <c r="AK38" s="76">
        <v>1469</v>
      </c>
      <c r="AL38" s="76">
        <v>1429</v>
      </c>
      <c r="AM38" s="6"/>
      <c r="AN38" s="6"/>
    </row>
    <row r="39" spans="1:71">
      <c r="A39" s="68" t="s">
        <v>103</v>
      </c>
      <c r="B39" s="71" t="s">
        <v>103</v>
      </c>
      <c r="C39" s="68"/>
      <c r="X39" s="6"/>
      <c r="Y39" s="6"/>
      <c r="Z39" s="6">
        <v>1.5</v>
      </c>
      <c r="AA39" s="6">
        <v>1.5</v>
      </c>
      <c r="AB39" s="6">
        <v>1.5</v>
      </c>
      <c r="AC39" s="6">
        <v>1.5</v>
      </c>
      <c r="AD39" s="6">
        <v>1.5</v>
      </c>
      <c r="AE39" s="6">
        <v>2</v>
      </c>
      <c r="AF39" s="6">
        <v>2</v>
      </c>
      <c r="AG39" s="6">
        <v>1.5</v>
      </c>
      <c r="AH39" s="6">
        <v>1.5</v>
      </c>
      <c r="AI39" s="64">
        <v>2</v>
      </c>
      <c r="AJ39" s="72">
        <v>2</v>
      </c>
      <c r="AK39" s="72">
        <v>1.5</v>
      </c>
      <c r="AL39" s="73">
        <v>1.5</v>
      </c>
      <c r="AM39" s="6"/>
      <c r="AN39" s="10"/>
    </row>
    <row r="40" spans="1:71" ht="15.6">
      <c r="A40" s="68"/>
      <c r="B40" s="71"/>
      <c r="C40" s="94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92"/>
      <c r="AJ40" s="79"/>
      <c r="AK40" s="79"/>
      <c r="AL40" s="79"/>
      <c r="AM40" s="44"/>
      <c r="AN40" s="44"/>
    </row>
    <row r="41" spans="1:71" s="80" customFormat="1" ht="15.6">
      <c r="A41" s="197" t="s">
        <v>200</v>
      </c>
      <c r="B41" s="185"/>
      <c r="C41" s="34">
        <f>SUM(C16:C38)</f>
        <v>1420.5</v>
      </c>
      <c r="D41" s="35">
        <f>SUM(D16:D38)</f>
        <v>1598.5</v>
      </c>
      <c r="E41" s="35">
        <f>SUM(E16:E38)</f>
        <v>1624</v>
      </c>
      <c r="F41" s="35">
        <f>SUM(F16:F38)</f>
        <v>1692</v>
      </c>
      <c r="G41" s="35">
        <f>SUM(G16:G38)</f>
        <v>1674.5</v>
      </c>
      <c r="H41" s="35">
        <f>SUM(H17:H38)</f>
        <v>1606</v>
      </c>
      <c r="I41" s="35">
        <f t="shared" ref="I41:X41" si="0">SUM(I16:I38)</f>
        <v>1881</v>
      </c>
      <c r="J41" s="35">
        <f t="shared" si="0"/>
        <v>1993</v>
      </c>
      <c r="K41" s="35">
        <f t="shared" si="0"/>
        <v>2018.5</v>
      </c>
      <c r="L41" s="35">
        <f t="shared" si="0"/>
        <v>2014</v>
      </c>
      <c r="M41" s="35">
        <f t="shared" si="0"/>
        <v>2112</v>
      </c>
      <c r="N41" s="35">
        <f t="shared" si="0"/>
        <v>2142</v>
      </c>
      <c r="O41" s="35">
        <f t="shared" si="0"/>
        <v>2168</v>
      </c>
      <c r="P41" s="35">
        <f t="shared" si="0"/>
        <v>2314</v>
      </c>
      <c r="Q41" s="35">
        <f t="shared" si="0"/>
        <v>2344.5</v>
      </c>
      <c r="R41" s="35">
        <f t="shared" si="0"/>
        <v>2175.5</v>
      </c>
      <c r="S41" s="35">
        <f t="shared" si="0"/>
        <v>2207</v>
      </c>
      <c r="T41" s="35">
        <f t="shared" si="0"/>
        <v>2197</v>
      </c>
      <c r="U41" s="35">
        <f t="shared" si="0"/>
        <v>2231</v>
      </c>
      <c r="V41" s="35">
        <f t="shared" si="0"/>
        <v>2218.5</v>
      </c>
      <c r="W41" s="35">
        <f>SUM(W16:W38)</f>
        <v>2315</v>
      </c>
      <c r="X41" s="35">
        <f t="shared" si="0"/>
        <v>2265.5</v>
      </c>
      <c r="Y41" s="35">
        <f>SUM(Y16:Y38)</f>
        <v>2140.5</v>
      </c>
      <c r="Z41" s="35">
        <f>SUM(Z16:Z39)</f>
        <v>2189</v>
      </c>
      <c r="AA41" s="35">
        <f>SUM(AA16:AA39)</f>
        <v>2088.5</v>
      </c>
      <c r="AB41" s="35">
        <f>SUM(AB16:AB39)</f>
        <v>2162.5</v>
      </c>
      <c r="AC41" s="35">
        <f>SUM(AC16:AC39)</f>
        <v>1905.5</v>
      </c>
      <c r="AD41" s="35">
        <f>SUM(AD16:AD39)</f>
        <v>2184.5</v>
      </c>
      <c r="AE41" s="35">
        <v>2107.5</v>
      </c>
      <c r="AF41" s="35">
        <v>2166</v>
      </c>
      <c r="AG41" s="35">
        <v>2041.5</v>
      </c>
      <c r="AH41" s="35">
        <v>2232.5</v>
      </c>
      <c r="AI41" s="83">
        <v>1932</v>
      </c>
      <c r="AJ41" s="84">
        <f>SUM(AJ16:AJ39)</f>
        <v>1919.5</v>
      </c>
      <c r="AK41" s="84">
        <f>SUM(AK16:AK39)</f>
        <v>2179</v>
      </c>
      <c r="AL41" s="84">
        <f>SUM(AL16:AL39)</f>
        <v>2155</v>
      </c>
      <c r="AM41" s="6"/>
      <c r="AN41" s="85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</row>
    <row r="42" spans="1:71" ht="15.6" thickBot="1">
      <c r="A42" s="183"/>
      <c r="B42" s="198"/>
      <c r="C42" s="86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90"/>
      <c r="AJ42" s="91"/>
      <c r="AK42" s="91"/>
      <c r="AL42" s="91"/>
      <c r="AM42" s="6"/>
      <c r="AN42" s="6"/>
    </row>
    <row r="43" spans="1:71">
      <c r="A43" s="68"/>
      <c r="C43" s="68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92"/>
      <c r="AJ43" s="79"/>
      <c r="AK43" s="79"/>
      <c r="AL43" s="79"/>
      <c r="AM43" s="6"/>
      <c r="AN43" s="6"/>
    </row>
    <row r="44" spans="1:71">
      <c r="A44" s="68" t="s">
        <v>185</v>
      </c>
      <c r="B44" s="7" t="s">
        <v>75</v>
      </c>
      <c r="C44" s="68">
        <v>6.5</v>
      </c>
      <c r="D44" s="6">
        <v>7</v>
      </c>
      <c r="E44" s="6">
        <v>7</v>
      </c>
      <c r="F44" s="6">
        <v>5</v>
      </c>
      <c r="G44" s="6">
        <v>5</v>
      </c>
      <c r="H44" s="6">
        <v>4</v>
      </c>
      <c r="I44" s="6">
        <v>5</v>
      </c>
      <c r="J44" s="6">
        <v>5</v>
      </c>
      <c r="K44" s="6">
        <v>5.5</v>
      </c>
      <c r="L44" s="6">
        <v>4.5</v>
      </c>
      <c r="M44" s="6">
        <v>4</v>
      </c>
      <c r="N44" s="6">
        <v>5</v>
      </c>
      <c r="O44" s="6">
        <v>7</v>
      </c>
      <c r="P44" s="6">
        <v>7.5</v>
      </c>
      <c r="Q44" s="6">
        <v>5.5</v>
      </c>
      <c r="R44" s="6">
        <v>4.5</v>
      </c>
      <c r="S44" s="6">
        <v>6</v>
      </c>
      <c r="T44" s="6">
        <v>7.5</v>
      </c>
      <c r="U44" s="6">
        <v>6.5</v>
      </c>
      <c r="V44" s="6">
        <v>6.5</v>
      </c>
      <c r="W44" s="9">
        <v>15</v>
      </c>
      <c r="X44" s="9">
        <v>16</v>
      </c>
      <c r="Y44" s="9">
        <v>21</v>
      </c>
      <c r="Z44" s="9">
        <v>22</v>
      </c>
      <c r="AA44" s="9">
        <v>25</v>
      </c>
      <c r="AB44" s="9">
        <v>25</v>
      </c>
      <c r="AC44" s="9">
        <v>28</v>
      </c>
      <c r="AD44" s="9">
        <v>33.5</v>
      </c>
      <c r="AE44" s="9">
        <v>37.5</v>
      </c>
      <c r="AF44" s="9">
        <v>41.5</v>
      </c>
      <c r="AG44" s="9">
        <v>33</v>
      </c>
      <c r="AH44" s="9"/>
      <c r="AI44" s="69"/>
      <c r="AJ44" s="70"/>
      <c r="AK44" s="70"/>
      <c r="AL44" s="70"/>
      <c r="AM44" s="6"/>
      <c r="AN44" s="6"/>
    </row>
    <row r="45" spans="1:71">
      <c r="A45" s="68" t="s">
        <v>201</v>
      </c>
      <c r="B45" s="7" t="s">
        <v>51</v>
      </c>
      <c r="C45" s="68">
        <v>13.5</v>
      </c>
      <c r="D45" s="6">
        <v>12.5</v>
      </c>
      <c r="E45" s="6">
        <v>16</v>
      </c>
      <c r="F45" s="6">
        <v>16.5</v>
      </c>
      <c r="G45" s="6">
        <v>19</v>
      </c>
      <c r="H45" s="6">
        <v>16.5</v>
      </c>
      <c r="I45" s="6">
        <v>21.5</v>
      </c>
      <c r="J45" s="6">
        <v>17.5</v>
      </c>
      <c r="K45" s="6">
        <v>24</v>
      </c>
      <c r="L45" s="6">
        <v>25.5</v>
      </c>
      <c r="M45" s="6">
        <v>31</v>
      </c>
      <c r="N45" s="6">
        <v>27.5</v>
      </c>
      <c r="O45" s="6">
        <v>31.5</v>
      </c>
      <c r="P45" s="6">
        <v>34.5</v>
      </c>
      <c r="Q45" s="6">
        <v>32.5</v>
      </c>
      <c r="R45" s="6">
        <v>34.5</v>
      </c>
      <c r="S45" s="6">
        <v>47.5</v>
      </c>
      <c r="T45" s="6">
        <v>35</v>
      </c>
      <c r="U45" s="6">
        <v>37</v>
      </c>
      <c r="V45" s="6">
        <v>44</v>
      </c>
      <c r="W45" s="9">
        <v>44</v>
      </c>
      <c r="X45" s="9">
        <v>40</v>
      </c>
      <c r="Y45" s="9">
        <v>37</v>
      </c>
      <c r="Z45" s="9">
        <v>37</v>
      </c>
      <c r="AA45" s="9">
        <v>37</v>
      </c>
      <c r="AB45" s="9">
        <v>42</v>
      </c>
      <c r="AC45" s="9">
        <v>45</v>
      </c>
      <c r="AD45" s="9">
        <v>48</v>
      </c>
      <c r="AE45" s="9">
        <v>50</v>
      </c>
      <c r="AF45" s="9">
        <v>42.5</v>
      </c>
      <c r="AG45" s="9">
        <v>56</v>
      </c>
      <c r="AH45" s="9">
        <v>50</v>
      </c>
      <c r="AI45" s="69">
        <v>41</v>
      </c>
      <c r="AJ45" s="93">
        <v>41</v>
      </c>
      <c r="AK45" s="93">
        <v>60.5</v>
      </c>
      <c r="AL45" s="93">
        <v>56</v>
      </c>
      <c r="AM45" s="6"/>
      <c r="AN45" s="6"/>
    </row>
    <row r="46" spans="1:71">
      <c r="A46" s="68" t="s">
        <v>202</v>
      </c>
      <c r="B46" s="7" t="s">
        <v>52</v>
      </c>
      <c r="C46" s="68">
        <v>13.5</v>
      </c>
      <c r="D46" s="6">
        <v>11</v>
      </c>
      <c r="E46" s="6">
        <v>17</v>
      </c>
      <c r="F46" s="6">
        <v>14.5</v>
      </c>
      <c r="G46" s="6">
        <v>23.5</v>
      </c>
      <c r="H46" s="6">
        <v>19</v>
      </c>
      <c r="I46" s="6">
        <v>24.5</v>
      </c>
      <c r="J46" s="6">
        <v>29</v>
      </c>
      <c r="K46" s="6">
        <v>23.5</v>
      </c>
      <c r="L46" s="6">
        <v>25</v>
      </c>
      <c r="M46" s="6">
        <v>25</v>
      </c>
      <c r="N46" s="6">
        <v>22.5</v>
      </c>
      <c r="O46" s="6">
        <v>21</v>
      </c>
      <c r="P46" s="6">
        <v>23.5</v>
      </c>
      <c r="Q46" s="6">
        <v>26.5</v>
      </c>
      <c r="R46" s="6">
        <v>26</v>
      </c>
      <c r="S46" s="6">
        <v>34.5</v>
      </c>
      <c r="T46" s="6">
        <v>40</v>
      </c>
      <c r="U46" s="6">
        <v>42</v>
      </c>
      <c r="V46" s="6">
        <v>50.5</v>
      </c>
      <c r="W46" s="9">
        <v>61.5</v>
      </c>
      <c r="X46" s="9">
        <v>68</v>
      </c>
      <c r="Y46" s="9">
        <v>73</v>
      </c>
      <c r="Z46" s="9">
        <v>72.5</v>
      </c>
      <c r="AA46" s="9">
        <v>66.5</v>
      </c>
      <c r="AB46" s="9">
        <v>50</v>
      </c>
      <c r="AC46" s="9">
        <v>59.5</v>
      </c>
      <c r="AD46" s="9">
        <v>76.5</v>
      </c>
      <c r="AE46" s="9">
        <v>86</v>
      </c>
      <c r="AF46" s="9">
        <v>104</v>
      </c>
      <c r="AG46" s="9">
        <v>106.5</v>
      </c>
      <c r="AH46" s="9">
        <v>103.5</v>
      </c>
      <c r="AI46" s="69">
        <v>91</v>
      </c>
      <c r="AJ46" s="93">
        <v>81</v>
      </c>
      <c r="AK46" s="93">
        <v>77</v>
      </c>
      <c r="AL46" s="93">
        <v>78.5</v>
      </c>
      <c r="AM46" s="6"/>
      <c r="AN46" s="6"/>
    </row>
    <row r="47" spans="1:71">
      <c r="A47" s="68" t="s">
        <v>53</v>
      </c>
      <c r="B47" s="7" t="s">
        <v>53</v>
      </c>
      <c r="C47" s="68">
        <v>10</v>
      </c>
      <c r="D47" s="6">
        <v>10</v>
      </c>
      <c r="E47" s="6">
        <v>13</v>
      </c>
      <c r="F47" s="6">
        <v>12</v>
      </c>
      <c r="G47" s="6">
        <v>15</v>
      </c>
      <c r="H47" s="6">
        <v>14</v>
      </c>
      <c r="I47" s="6">
        <v>19</v>
      </c>
      <c r="J47" s="6">
        <v>17.5</v>
      </c>
      <c r="K47" s="6">
        <v>18.5</v>
      </c>
      <c r="L47" s="6">
        <v>23</v>
      </c>
      <c r="M47" s="6">
        <v>24.5</v>
      </c>
      <c r="N47" s="6">
        <v>24</v>
      </c>
      <c r="O47" s="6">
        <v>25</v>
      </c>
      <c r="P47" s="6">
        <v>26</v>
      </c>
      <c r="Q47" s="6">
        <v>32</v>
      </c>
      <c r="R47" s="6">
        <v>30</v>
      </c>
      <c r="S47" s="6">
        <v>32.5</v>
      </c>
      <c r="T47" s="6">
        <v>29</v>
      </c>
      <c r="U47" s="6">
        <v>30</v>
      </c>
      <c r="V47" s="6">
        <v>37</v>
      </c>
      <c r="W47" s="9">
        <v>40</v>
      </c>
      <c r="X47" s="9">
        <v>39.5</v>
      </c>
      <c r="Y47" s="9">
        <v>37</v>
      </c>
      <c r="Z47" s="9">
        <v>40.5</v>
      </c>
      <c r="AA47" s="9">
        <v>37.5</v>
      </c>
      <c r="AB47" s="9">
        <v>41</v>
      </c>
      <c r="AC47" s="9">
        <v>39.5</v>
      </c>
      <c r="AD47" s="9">
        <v>47</v>
      </c>
      <c r="AE47" s="9">
        <v>46.5</v>
      </c>
      <c r="AF47" s="9">
        <v>57.5</v>
      </c>
      <c r="AG47" s="9">
        <v>58</v>
      </c>
      <c r="AH47" s="9">
        <v>53.5</v>
      </c>
      <c r="AI47" s="69">
        <v>48</v>
      </c>
      <c r="AJ47" s="93">
        <v>50</v>
      </c>
      <c r="AK47" s="93">
        <v>73.5</v>
      </c>
      <c r="AL47" s="93">
        <v>74</v>
      </c>
      <c r="AM47" s="6"/>
      <c r="AN47" s="6"/>
    </row>
    <row r="48" spans="1:71">
      <c r="A48" s="68" t="s">
        <v>203</v>
      </c>
      <c r="B48" s="7" t="s">
        <v>54</v>
      </c>
      <c r="C48" s="68"/>
      <c r="K48" s="10"/>
      <c r="L48" s="10"/>
      <c r="S48" s="6">
        <v>4.5</v>
      </c>
      <c r="T48" s="6">
        <v>5.5</v>
      </c>
      <c r="U48" s="6">
        <v>7.5</v>
      </c>
      <c r="V48" s="6">
        <v>9</v>
      </c>
      <c r="W48" s="9">
        <v>10</v>
      </c>
      <c r="X48" s="9">
        <v>13</v>
      </c>
      <c r="Y48" s="9">
        <v>6</v>
      </c>
      <c r="Z48" s="9">
        <v>5</v>
      </c>
      <c r="AA48" s="9">
        <v>6</v>
      </c>
      <c r="AB48" s="9">
        <v>5.5</v>
      </c>
      <c r="AC48" s="9">
        <v>6</v>
      </c>
      <c r="AD48" s="9">
        <v>7.5</v>
      </c>
      <c r="AE48" s="9">
        <v>9</v>
      </c>
      <c r="AF48" s="9">
        <v>8.5</v>
      </c>
      <c r="AG48" s="9">
        <v>14</v>
      </c>
      <c r="AH48" s="9">
        <v>8</v>
      </c>
      <c r="AI48" s="69">
        <v>7.5</v>
      </c>
      <c r="AJ48" s="93">
        <v>3.5</v>
      </c>
      <c r="AK48" s="93">
        <v>8.5</v>
      </c>
      <c r="AL48" s="93">
        <v>9</v>
      </c>
      <c r="AM48" s="6"/>
      <c r="AN48" s="6"/>
    </row>
    <row r="49" spans="1:71">
      <c r="A49" s="68" t="s">
        <v>96</v>
      </c>
      <c r="B49" s="7" t="s">
        <v>96</v>
      </c>
      <c r="C49" s="68"/>
      <c r="K49" s="10"/>
      <c r="L49" s="10"/>
      <c r="U49" s="6">
        <v>12</v>
      </c>
      <c r="V49" s="6">
        <v>18</v>
      </c>
      <c r="W49" s="9">
        <v>29.5</v>
      </c>
      <c r="X49" s="9">
        <v>40</v>
      </c>
      <c r="Y49" s="9">
        <v>39</v>
      </c>
      <c r="Z49" s="9">
        <v>32</v>
      </c>
      <c r="AA49" s="9">
        <v>33.5</v>
      </c>
      <c r="AB49" s="9">
        <v>39</v>
      </c>
      <c r="AC49" s="9">
        <v>44</v>
      </c>
      <c r="AD49" s="9">
        <v>44</v>
      </c>
      <c r="AE49" s="9">
        <v>51.5</v>
      </c>
      <c r="AF49" s="9">
        <v>57.5</v>
      </c>
      <c r="AG49" s="9">
        <v>53</v>
      </c>
      <c r="AH49" s="9">
        <v>57.5</v>
      </c>
      <c r="AI49" s="69">
        <v>43.5</v>
      </c>
      <c r="AJ49" s="93">
        <v>28</v>
      </c>
      <c r="AK49" s="93">
        <v>41.5</v>
      </c>
      <c r="AL49" s="93">
        <v>53</v>
      </c>
      <c r="AM49" s="6"/>
      <c r="AN49" s="6"/>
    </row>
    <row r="50" spans="1:71">
      <c r="A50" s="68" t="s">
        <v>204</v>
      </c>
      <c r="B50" s="7" t="s">
        <v>81</v>
      </c>
      <c r="C50" s="68">
        <v>88</v>
      </c>
      <c r="D50" s="6">
        <v>79</v>
      </c>
      <c r="E50" s="6">
        <v>104</v>
      </c>
      <c r="F50" s="6">
        <v>115.5</v>
      </c>
      <c r="G50" s="6">
        <v>115.5</v>
      </c>
      <c r="H50" s="6">
        <v>101</v>
      </c>
      <c r="I50" s="6">
        <v>130.5</v>
      </c>
      <c r="J50" s="6">
        <v>142.5</v>
      </c>
      <c r="K50" s="6">
        <v>151</v>
      </c>
      <c r="L50" s="6">
        <v>169.5</v>
      </c>
      <c r="M50" s="6">
        <v>194.5</v>
      </c>
      <c r="N50" s="6">
        <v>188.5</v>
      </c>
      <c r="O50" s="6">
        <v>184</v>
      </c>
      <c r="P50" s="6">
        <v>216.5</v>
      </c>
      <c r="Q50" s="6">
        <v>215.5</v>
      </c>
      <c r="R50" s="6">
        <v>223</v>
      </c>
      <c r="S50" s="6">
        <v>248</v>
      </c>
      <c r="T50" s="6">
        <v>246</v>
      </c>
      <c r="U50" s="6">
        <v>256</v>
      </c>
      <c r="V50" s="6">
        <v>258</v>
      </c>
      <c r="W50" s="9">
        <v>275</v>
      </c>
      <c r="X50" s="9">
        <v>300</v>
      </c>
      <c r="Y50" s="9">
        <v>287</v>
      </c>
      <c r="Z50" s="9">
        <v>301.5</v>
      </c>
      <c r="AA50" s="9">
        <v>295</v>
      </c>
      <c r="AB50" s="9">
        <v>321</v>
      </c>
      <c r="AC50" s="9">
        <v>315</v>
      </c>
      <c r="AD50" s="9">
        <v>315</v>
      </c>
      <c r="AE50" s="9">
        <v>351</v>
      </c>
      <c r="AF50" s="9">
        <v>402.5</v>
      </c>
      <c r="AG50" s="9">
        <v>389</v>
      </c>
      <c r="AH50" s="9">
        <v>412</v>
      </c>
      <c r="AI50" s="69">
        <v>374</v>
      </c>
      <c r="AJ50" s="93">
        <v>366</v>
      </c>
      <c r="AK50" s="93">
        <v>424</v>
      </c>
      <c r="AL50" s="93">
        <v>465</v>
      </c>
      <c r="AM50" s="6"/>
      <c r="AN50" s="6"/>
    </row>
    <row r="51" spans="1:71">
      <c r="A51" s="68" t="s">
        <v>205</v>
      </c>
      <c r="B51" s="7" t="s">
        <v>64</v>
      </c>
      <c r="C51" s="68">
        <v>4</v>
      </c>
      <c r="D51" s="6">
        <v>4.5</v>
      </c>
      <c r="E51" s="6">
        <v>5</v>
      </c>
      <c r="F51" s="6">
        <v>6.5</v>
      </c>
      <c r="G51" s="6">
        <v>8.5</v>
      </c>
      <c r="H51" s="6">
        <v>16.5</v>
      </c>
      <c r="I51" s="6">
        <v>26</v>
      </c>
      <c r="J51" s="6">
        <v>34</v>
      </c>
      <c r="K51" s="6">
        <v>28.5</v>
      </c>
      <c r="L51" s="6">
        <v>27</v>
      </c>
      <c r="M51" s="6">
        <v>30</v>
      </c>
      <c r="N51" s="6">
        <v>31.5</v>
      </c>
      <c r="O51" s="6">
        <v>30.5</v>
      </c>
      <c r="P51" s="6">
        <v>32</v>
      </c>
      <c r="Q51" s="6">
        <v>32</v>
      </c>
      <c r="R51" s="6">
        <v>30</v>
      </c>
      <c r="S51" s="6">
        <v>30.5</v>
      </c>
      <c r="T51" s="6">
        <v>29</v>
      </c>
      <c r="U51" s="6">
        <v>30</v>
      </c>
      <c r="V51" s="6">
        <v>40.5</v>
      </c>
      <c r="W51" s="9">
        <v>35.5</v>
      </c>
      <c r="X51" s="9">
        <v>43</v>
      </c>
      <c r="Y51" s="9">
        <v>51</v>
      </c>
      <c r="Z51" s="9">
        <v>54</v>
      </c>
      <c r="AA51" s="9">
        <v>59</v>
      </c>
      <c r="AB51" s="9">
        <v>53.5</v>
      </c>
      <c r="AC51" s="9">
        <v>54.5</v>
      </c>
      <c r="AD51" s="9">
        <v>55.5</v>
      </c>
      <c r="AE51" s="9">
        <v>69</v>
      </c>
      <c r="AF51" s="9">
        <v>69.5</v>
      </c>
      <c r="AG51" s="9">
        <v>59</v>
      </c>
      <c r="AH51" s="9">
        <v>62.5</v>
      </c>
      <c r="AI51" s="69">
        <v>52</v>
      </c>
      <c r="AJ51" s="93">
        <v>45.5</v>
      </c>
      <c r="AK51" s="93">
        <v>34</v>
      </c>
      <c r="AL51" s="93">
        <v>42</v>
      </c>
      <c r="AM51" s="6"/>
      <c r="AN51" s="6"/>
    </row>
    <row r="52" spans="1:71">
      <c r="A52" s="68" t="s">
        <v>206</v>
      </c>
      <c r="B52" s="7" t="s">
        <v>68</v>
      </c>
      <c r="C52" s="68">
        <v>4</v>
      </c>
      <c r="D52" s="6">
        <v>4</v>
      </c>
      <c r="E52" s="6">
        <v>4</v>
      </c>
      <c r="F52" s="6">
        <v>5</v>
      </c>
      <c r="G52" s="6">
        <v>3</v>
      </c>
      <c r="H52" s="6">
        <v>3</v>
      </c>
      <c r="I52" s="6">
        <v>6</v>
      </c>
      <c r="J52" s="6">
        <v>4.5</v>
      </c>
      <c r="K52" s="6">
        <v>5</v>
      </c>
      <c r="L52" s="6">
        <v>5</v>
      </c>
      <c r="M52" s="6">
        <v>6.5</v>
      </c>
      <c r="N52" s="6">
        <v>8</v>
      </c>
      <c r="O52" s="6">
        <v>12</v>
      </c>
      <c r="P52" s="6">
        <v>12</v>
      </c>
      <c r="Q52" s="6">
        <v>12</v>
      </c>
      <c r="R52" s="6">
        <v>11.5</v>
      </c>
      <c r="S52" s="6">
        <v>10</v>
      </c>
      <c r="T52" s="6">
        <v>10</v>
      </c>
      <c r="U52" s="6">
        <v>9.5</v>
      </c>
      <c r="V52" s="6">
        <v>9</v>
      </c>
      <c r="W52" s="9">
        <v>10</v>
      </c>
      <c r="X52" s="9">
        <v>11.5</v>
      </c>
      <c r="Y52" s="9">
        <v>14</v>
      </c>
      <c r="Z52" s="9">
        <v>14</v>
      </c>
      <c r="AA52" s="9">
        <v>15.5</v>
      </c>
      <c r="AB52" s="9">
        <v>14.5</v>
      </c>
      <c r="AC52" s="9">
        <v>14</v>
      </c>
      <c r="AD52" s="9">
        <v>15</v>
      </c>
      <c r="AE52" s="9">
        <v>15</v>
      </c>
      <c r="AF52" s="9">
        <v>17</v>
      </c>
      <c r="AG52" s="9">
        <v>19</v>
      </c>
      <c r="AH52" s="9">
        <v>22.5</v>
      </c>
      <c r="AI52" s="69">
        <v>18</v>
      </c>
      <c r="AJ52" s="93">
        <v>13</v>
      </c>
      <c r="AK52" s="93">
        <v>13</v>
      </c>
      <c r="AL52" s="93">
        <v>13.5</v>
      </c>
      <c r="AM52" s="6"/>
      <c r="AN52" s="6"/>
    </row>
    <row r="53" spans="1:71">
      <c r="A53" s="68" t="s">
        <v>207</v>
      </c>
      <c r="B53" s="7" t="s">
        <v>97</v>
      </c>
      <c r="C53" s="68"/>
      <c r="S53" s="6">
        <v>3.5</v>
      </c>
      <c r="T53" s="6">
        <v>3.5</v>
      </c>
      <c r="U53" s="6">
        <v>3</v>
      </c>
      <c r="V53" s="6">
        <v>3.5</v>
      </c>
      <c r="W53" s="9">
        <v>3</v>
      </c>
      <c r="X53" s="9">
        <v>3</v>
      </c>
      <c r="Y53" s="9">
        <v>3.5</v>
      </c>
      <c r="Z53" s="9">
        <v>4</v>
      </c>
      <c r="AA53" s="9">
        <v>4</v>
      </c>
      <c r="AB53" s="9">
        <v>4</v>
      </c>
      <c r="AC53" s="9">
        <v>4</v>
      </c>
      <c r="AD53" s="9">
        <v>4</v>
      </c>
      <c r="AE53" s="9">
        <v>4</v>
      </c>
      <c r="AF53" s="9">
        <v>4.5</v>
      </c>
      <c r="AG53" s="9">
        <v>4</v>
      </c>
      <c r="AH53" s="9">
        <v>5</v>
      </c>
      <c r="AI53" s="69">
        <v>4</v>
      </c>
      <c r="AJ53" s="93">
        <v>4</v>
      </c>
      <c r="AK53" s="93">
        <v>4</v>
      </c>
      <c r="AL53" s="93">
        <v>4</v>
      </c>
      <c r="AM53" s="6"/>
      <c r="AN53" s="6"/>
    </row>
    <row r="54" spans="1:71">
      <c r="A54" s="68" t="s">
        <v>208</v>
      </c>
      <c r="B54" s="7" t="s">
        <v>74</v>
      </c>
      <c r="C54" s="68">
        <v>5</v>
      </c>
      <c r="D54" s="6">
        <v>9</v>
      </c>
      <c r="E54" s="6">
        <v>5</v>
      </c>
      <c r="F54" s="6">
        <v>6</v>
      </c>
      <c r="G54" s="6">
        <v>5.5</v>
      </c>
      <c r="H54" s="6">
        <v>1</v>
      </c>
      <c r="I54" s="6">
        <v>1.5</v>
      </c>
      <c r="J54" s="6">
        <v>1.5</v>
      </c>
      <c r="K54" s="6">
        <v>2</v>
      </c>
      <c r="L54" s="6">
        <v>3</v>
      </c>
      <c r="M54" s="6">
        <v>4</v>
      </c>
      <c r="N54" s="6">
        <v>4</v>
      </c>
      <c r="O54" s="6">
        <v>6</v>
      </c>
      <c r="P54" s="6">
        <v>7</v>
      </c>
      <c r="Q54" s="6">
        <v>9</v>
      </c>
      <c r="R54" s="6">
        <v>9.5</v>
      </c>
      <c r="S54" s="6">
        <v>10.5</v>
      </c>
      <c r="T54" s="6">
        <v>17</v>
      </c>
      <c r="U54" s="6">
        <v>15</v>
      </c>
      <c r="V54" s="6">
        <v>22</v>
      </c>
      <c r="W54" s="9">
        <v>21</v>
      </c>
      <c r="X54" s="9">
        <v>24</v>
      </c>
      <c r="Y54" s="9">
        <v>27</v>
      </c>
      <c r="Z54" s="9">
        <v>30</v>
      </c>
      <c r="AA54" s="9">
        <v>19</v>
      </c>
      <c r="AB54" s="9">
        <v>19.5</v>
      </c>
      <c r="AC54" s="9">
        <v>19.5</v>
      </c>
      <c r="AD54" s="9">
        <v>20.5</v>
      </c>
      <c r="AE54" s="9">
        <v>24</v>
      </c>
      <c r="AF54" s="9">
        <v>27</v>
      </c>
      <c r="AG54" s="9">
        <v>32</v>
      </c>
      <c r="AH54" s="9">
        <v>19.5</v>
      </c>
      <c r="AI54" s="69">
        <v>12</v>
      </c>
      <c r="AJ54" s="93">
        <v>22</v>
      </c>
      <c r="AK54" s="93">
        <v>18</v>
      </c>
      <c r="AL54" s="93">
        <v>22.5</v>
      </c>
      <c r="AM54" s="6"/>
      <c r="AN54" s="6"/>
    </row>
    <row r="55" spans="1:71">
      <c r="A55" s="68" t="s">
        <v>209</v>
      </c>
      <c r="B55" s="71" t="s">
        <v>78</v>
      </c>
      <c r="C55" s="68">
        <v>62</v>
      </c>
      <c r="D55" s="6">
        <v>66</v>
      </c>
      <c r="E55" s="6">
        <v>67</v>
      </c>
      <c r="F55" s="6">
        <v>69</v>
      </c>
      <c r="G55" s="6">
        <v>78</v>
      </c>
      <c r="H55" s="6">
        <v>78</v>
      </c>
      <c r="I55" s="6">
        <v>85</v>
      </c>
      <c r="J55" s="6">
        <v>95</v>
      </c>
      <c r="K55" s="6">
        <v>88</v>
      </c>
      <c r="L55" s="6">
        <v>90</v>
      </c>
      <c r="M55" s="6">
        <v>110</v>
      </c>
      <c r="N55" s="6">
        <v>86</v>
      </c>
      <c r="O55" s="6">
        <v>128.5</v>
      </c>
      <c r="P55" s="6">
        <v>150</v>
      </c>
      <c r="Q55" s="6">
        <v>135</v>
      </c>
      <c r="R55" s="6">
        <v>79</v>
      </c>
      <c r="S55" s="6">
        <v>110</v>
      </c>
      <c r="T55" s="6">
        <v>80</v>
      </c>
      <c r="U55" s="6">
        <v>110</v>
      </c>
      <c r="V55" s="6">
        <v>120.5</v>
      </c>
      <c r="W55" s="6">
        <v>130.5</v>
      </c>
      <c r="X55" s="6">
        <v>135.5</v>
      </c>
      <c r="Y55" s="6">
        <v>160.5</v>
      </c>
      <c r="Z55" s="6">
        <v>170.5</v>
      </c>
      <c r="AA55" s="6">
        <v>126</v>
      </c>
      <c r="AB55" s="6">
        <v>104</v>
      </c>
      <c r="AC55" s="6">
        <v>98</v>
      </c>
      <c r="AD55" s="6">
        <v>80</v>
      </c>
      <c r="AE55" s="9">
        <v>136</v>
      </c>
      <c r="AF55" s="9">
        <v>103.5</v>
      </c>
      <c r="AG55" s="9">
        <v>124.5</v>
      </c>
      <c r="AH55" s="9">
        <v>81.5</v>
      </c>
      <c r="AI55" s="69">
        <v>62.5</v>
      </c>
      <c r="AJ55" s="93">
        <v>60</v>
      </c>
      <c r="AK55" s="93">
        <v>58.5</v>
      </c>
      <c r="AL55" s="93">
        <v>59</v>
      </c>
      <c r="AM55" s="6"/>
      <c r="AN55" s="6"/>
    </row>
    <row r="56" spans="1:71">
      <c r="A56" s="68" t="s">
        <v>210</v>
      </c>
      <c r="B56" s="7" t="s">
        <v>77</v>
      </c>
      <c r="C56" s="68">
        <v>3</v>
      </c>
      <c r="D56" s="6">
        <v>3</v>
      </c>
      <c r="E56" s="6">
        <v>3</v>
      </c>
      <c r="F56" s="6">
        <v>3</v>
      </c>
      <c r="G56" s="6">
        <v>4</v>
      </c>
      <c r="H56" s="6">
        <v>3.5</v>
      </c>
      <c r="I56" s="6">
        <v>3.5</v>
      </c>
      <c r="J56" s="6">
        <v>5.5</v>
      </c>
      <c r="K56" s="6">
        <v>6</v>
      </c>
      <c r="L56" s="6">
        <v>8</v>
      </c>
      <c r="M56" s="6">
        <v>8</v>
      </c>
      <c r="N56" s="6">
        <v>9</v>
      </c>
      <c r="O56" s="6">
        <v>10</v>
      </c>
      <c r="P56" s="6">
        <v>11</v>
      </c>
      <c r="Q56" s="6">
        <v>11</v>
      </c>
      <c r="R56" s="6">
        <v>11.5</v>
      </c>
      <c r="S56" s="6">
        <v>12</v>
      </c>
      <c r="T56" s="6">
        <v>12.5</v>
      </c>
      <c r="U56" s="6">
        <v>6</v>
      </c>
      <c r="V56" s="6">
        <v>13</v>
      </c>
      <c r="W56" s="9">
        <v>13</v>
      </c>
      <c r="X56" s="6">
        <v>13.5</v>
      </c>
      <c r="Y56" s="6">
        <v>13.5</v>
      </c>
      <c r="Z56" s="6">
        <v>13.5</v>
      </c>
      <c r="AA56" s="6">
        <v>14</v>
      </c>
      <c r="AB56" s="6">
        <v>14.5</v>
      </c>
      <c r="AC56" s="6">
        <v>14.5</v>
      </c>
      <c r="AD56" s="6">
        <v>14.5</v>
      </c>
      <c r="AE56" s="9">
        <v>15</v>
      </c>
      <c r="AF56" s="9">
        <v>18</v>
      </c>
      <c r="AG56" s="9">
        <v>18</v>
      </c>
      <c r="AH56" s="9">
        <v>17.5</v>
      </c>
      <c r="AI56" s="69">
        <v>16</v>
      </c>
      <c r="AJ56" s="93">
        <v>15.5</v>
      </c>
      <c r="AK56" s="93">
        <v>9</v>
      </c>
      <c r="AL56" s="93">
        <v>14</v>
      </c>
      <c r="AM56" s="6"/>
      <c r="AN56" s="6"/>
    </row>
    <row r="57" spans="1:71">
      <c r="A57" s="68" t="s">
        <v>211</v>
      </c>
      <c r="B57" s="7" t="s">
        <v>91</v>
      </c>
      <c r="C57" s="68"/>
      <c r="J57" s="6">
        <v>4.5</v>
      </c>
      <c r="K57" s="6">
        <v>7</v>
      </c>
      <c r="L57" s="6">
        <v>6</v>
      </c>
      <c r="M57" s="6">
        <v>8</v>
      </c>
      <c r="N57" s="6">
        <v>6.5</v>
      </c>
      <c r="O57" s="6">
        <v>5.5</v>
      </c>
      <c r="P57" s="6">
        <v>4</v>
      </c>
      <c r="Q57" s="6">
        <v>4.5</v>
      </c>
      <c r="R57" s="6">
        <v>4</v>
      </c>
      <c r="S57" s="6">
        <v>3.5</v>
      </c>
      <c r="T57" s="6">
        <v>4</v>
      </c>
      <c r="U57" s="6">
        <v>3</v>
      </c>
      <c r="V57" s="6">
        <v>4</v>
      </c>
      <c r="W57" s="9">
        <v>5</v>
      </c>
      <c r="X57" s="9">
        <v>5</v>
      </c>
      <c r="Y57" s="9">
        <v>6</v>
      </c>
      <c r="Z57" s="9">
        <v>8.5</v>
      </c>
      <c r="AA57" s="9">
        <v>8</v>
      </c>
      <c r="AB57" s="9">
        <v>6.5</v>
      </c>
      <c r="AC57" s="9">
        <v>6.5</v>
      </c>
      <c r="AD57" s="9">
        <v>7.5</v>
      </c>
      <c r="AE57" s="9">
        <v>8</v>
      </c>
      <c r="AF57" s="9">
        <v>9.5</v>
      </c>
      <c r="AG57" s="9">
        <v>10.5</v>
      </c>
      <c r="AH57" s="9">
        <v>13</v>
      </c>
      <c r="AI57" s="69">
        <v>9</v>
      </c>
      <c r="AJ57" s="93">
        <v>6.5</v>
      </c>
      <c r="AK57" s="93">
        <v>7</v>
      </c>
      <c r="AL57" s="93">
        <v>7</v>
      </c>
      <c r="AM57" s="6"/>
      <c r="AN57" s="6"/>
    </row>
    <row r="58" spans="1:71">
      <c r="A58" s="68" t="s">
        <v>212</v>
      </c>
      <c r="B58" s="7" t="s">
        <v>72</v>
      </c>
      <c r="C58" s="68">
        <v>15.5</v>
      </c>
      <c r="D58" s="6">
        <v>17.5</v>
      </c>
      <c r="E58" s="6">
        <v>9</v>
      </c>
      <c r="F58" s="6">
        <v>10</v>
      </c>
      <c r="G58" s="6">
        <v>10</v>
      </c>
      <c r="H58" s="6">
        <v>6</v>
      </c>
      <c r="I58" s="6">
        <v>13</v>
      </c>
      <c r="J58" s="6">
        <v>11.5</v>
      </c>
      <c r="K58" s="6">
        <v>12.5</v>
      </c>
      <c r="L58" s="6">
        <v>13</v>
      </c>
      <c r="M58" s="6">
        <v>13</v>
      </c>
      <c r="N58" s="6">
        <v>14</v>
      </c>
      <c r="O58" s="6">
        <v>14.5</v>
      </c>
      <c r="P58" s="6">
        <v>13.5</v>
      </c>
      <c r="Q58" s="6">
        <v>13</v>
      </c>
      <c r="R58" s="6">
        <v>10</v>
      </c>
      <c r="S58" s="6">
        <v>13.5</v>
      </c>
      <c r="T58" s="6">
        <v>13.5</v>
      </c>
      <c r="U58" s="6">
        <v>13</v>
      </c>
      <c r="V58" s="6">
        <v>13</v>
      </c>
      <c r="W58" s="9">
        <v>13</v>
      </c>
      <c r="X58" s="9">
        <v>13</v>
      </c>
      <c r="Y58" s="9">
        <v>13</v>
      </c>
      <c r="Z58" s="9">
        <v>11.5</v>
      </c>
      <c r="AA58" s="9">
        <v>11.5</v>
      </c>
      <c r="AB58" s="9">
        <v>12</v>
      </c>
      <c r="AC58" s="9">
        <v>12.5</v>
      </c>
      <c r="AD58" s="9">
        <v>12.5</v>
      </c>
      <c r="AE58" s="9">
        <v>12.5</v>
      </c>
      <c r="AF58" s="9">
        <v>12.5</v>
      </c>
      <c r="AG58" s="9">
        <v>12.5</v>
      </c>
      <c r="AH58" s="9">
        <v>12.5</v>
      </c>
      <c r="AI58" s="69">
        <v>12.5</v>
      </c>
      <c r="AJ58" s="93">
        <v>12.5</v>
      </c>
      <c r="AK58" s="93">
        <v>12.5</v>
      </c>
      <c r="AL58" s="93">
        <v>12.5</v>
      </c>
      <c r="AM58" s="6"/>
      <c r="AN58" s="6"/>
    </row>
    <row r="59" spans="1:71">
      <c r="A59" s="68" t="s">
        <v>213</v>
      </c>
      <c r="B59" s="7" t="s">
        <v>71</v>
      </c>
      <c r="C59" s="68">
        <v>21</v>
      </c>
      <c r="D59" s="6">
        <v>35</v>
      </c>
      <c r="E59" s="6">
        <v>30</v>
      </c>
      <c r="F59" s="6">
        <v>30</v>
      </c>
      <c r="G59" s="6">
        <v>33</v>
      </c>
      <c r="H59" s="6">
        <v>20</v>
      </c>
      <c r="I59" s="6">
        <v>25</v>
      </c>
      <c r="J59" s="6">
        <v>20.5</v>
      </c>
      <c r="K59" s="6">
        <v>23</v>
      </c>
      <c r="L59" s="6">
        <v>29</v>
      </c>
      <c r="M59" s="6">
        <v>20</v>
      </c>
      <c r="N59" s="6">
        <v>38</v>
      </c>
      <c r="O59" s="6">
        <v>34</v>
      </c>
      <c r="P59" s="6">
        <v>31</v>
      </c>
      <c r="Q59" s="6">
        <f>47+3.5</f>
        <v>50.5</v>
      </c>
      <c r="R59" s="6">
        <f>38+3.5</f>
        <v>41.5</v>
      </c>
      <c r="S59" s="6">
        <f>25</f>
        <v>25</v>
      </c>
      <c r="T59" s="6">
        <f>25</f>
        <v>25</v>
      </c>
      <c r="U59" s="6">
        <v>20</v>
      </c>
      <c r="V59" s="6">
        <v>35</v>
      </c>
      <c r="W59" s="9">
        <v>40</v>
      </c>
      <c r="X59" s="9">
        <v>55</v>
      </c>
      <c r="Y59" s="9">
        <v>60</v>
      </c>
      <c r="Z59" s="9">
        <v>70</v>
      </c>
      <c r="AA59" s="9">
        <v>70</v>
      </c>
      <c r="AB59" s="9">
        <v>65</v>
      </c>
      <c r="AC59" s="9">
        <v>60</v>
      </c>
      <c r="AD59" s="9">
        <v>73.5</v>
      </c>
      <c r="AE59" s="9">
        <v>70.5</v>
      </c>
      <c r="AF59" s="9">
        <v>127</v>
      </c>
      <c r="AG59" s="9">
        <v>145</v>
      </c>
      <c r="AH59" s="9">
        <v>177</v>
      </c>
      <c r="AI59" s="69">
        <v>136</v>
      </c>
      <c r="AJ59" s="93">
        <v>120.5</v>
      </c>
      <c r="AK59" s="93">
        <v>195</v>
      </c>
      <c r="AL59" s="93">
        <v>183</v>
      </c>
      <c r="AM59" s="6"/>
      <c r="AN59" s="10"/>
    </row>
    <row r="60" spans="1:71" ht="15.6">
      <c r="A60" s="68"/>
      <c r="C60" s="94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92"/>
      <c r="AJ60" s="79"/>
      <c r="AK60" s="79"/>
      <c r="AL60" s="79"/>
      <c r="AM60" s="44"/>
      <c r="AN60" s="44"/>
    </row>
    <row r="61" spans="1:71" s="80" customFormat="1" ht="15.6">
      <c r="A61" s="81" t="s">
        <v>214</v>
      </c>
      <c r="B61" s="82"/>
      <c r="C61" s="43">
        <f>SUM(C44:C59)</f>
        <v>246</v>
      </c>
      <c r="D61" s="44">
        <f t="shared" ref="D61:Z61" si="1">SUM(D44:D59)</f>
        <v>258.5</v>
      </c>
      <c r="E61" s="44">
        <f t="shared" si="1"/>
        <v>280</v>
      </c>
      <c r="F61" s="44">
        <f t="shared" si="1"/>
        <v>293</v>
      </c>
      <c r="G61" s="44">
        <f t="shared" si="1"/>
        <v>320</v>
      </c>
      <c r="H61" s="44">
        <f t="shared" si="1"/>
        <v>282.5</v>
      </c>
      <c r="I61" s="44">
        <f t="shared" si="1"/>
        <v>360.5</v>
      </c>
      <c r="J61" s="44">
        <f t="shared" si="1"/>
        <v>388.5</v>
      </c>
      <c r="K61" s="44">
        <f t="shared" si="1"/>
        <v>394.5</v>
      </c>
      <c r="L61" s="44">
        <f t="shared" si="1"/>
        <v>428.5</v>
      </c>
      <c r="M61" s="44">
        <f t="shared" si="1"/>
        <v>478.5</v>
      </c>
      <c r="N61" s="44">
        <f t="shared" si="1"/>
        <v>464.5</v>
      </c>
      <c r="O61" s="44">
        <f t="shared" si="1"/>
        <v>509.5</v>
      </c>
      <c r="P61" s="44">
        <f t="shared" si="1"/>
        <v>568.5</v>
      </c>
      <c r="Q61" s="44">
        <f t="shared" si="1"/>
        <v>579</v>
      </c>
      <c r="R61" s="44">
        <f t="shared" si="1"/>
        <v>515</v>
      </c>
      <c r="S61" s="44">
        <f t="shared" si="1"/>
        <v>591.5</v>
      </c>
      <c r="T61" s="35">
        <f t="shared" si="1"/>
        <v>557.5</v>
      </c>
      <c r="U61" s="35">
        <f t="shared" si="1"/>
        <v>600.5</v>
      </c>
      <c r="V61" s="35">
        <f t="shared" si="1"/>
        <v>683.5</v>
      </c>
      <c r="W61" s="35">
        <f t="shared" si="1"/>
        <v>746</v>
      </c>
      <c r="X61" s="35">
        <f t="shared" si="1"/>
        <v>820</v>
      </c>
      <c r="Y61" s="35">
        <f t="shared" si="1"/>
        <v>848.5</v>
      </c>
      <c r="Z61" s="35">
        <f t="shared" si="1"/>
        <v>886.5</v>
      </c>
      <c r="AA61" s="35">
        <f>SUM(AA44:AA59)</f>
        <v>827.5</v>
      </c>
      <c r="AB61" s="35">
        <f>SUM(AB44:AB59)</f>
        <v>817</v>
      </c>
      <c r="AC61" s="35">
        <f>SUM(AC44:AC59)</f>
        <v>820.5</v>
      </c>
      <c r="AD61" s="35">
        <f>SUM(AD44:AD59)</f>
        <v>854.5</v>
      </c>
      <c r="AE61" s="35">
        <v>985.5</v>
      </c>
      <c r="AF61" s="35">
        <v>1102.5</v>
      </c>
      <c r="AG61" s="35">
        <v>1134</v>
      </c>
      <c r="AH61" s="35">
        <v>1095.5</v>
      </c>
      <c r="AI61" s="83">
        <v>927</v>
      </c>
      <c r="AJ61" s="84">
        <f>SUM(AJ44:AJ59)</f>
        <v>869</v>
      </c>
      <c r="AK61" s="84">
        <f>SUM(AK44:AK59)</f>
        <v>1036</v>
      </c>
      <c r="AL61" s="84">
        <f>SUM(AL44:AL59)</f>
        <v>1093</v>
      </c>
      <c r="AM61" s="6"/>
      <c r="AN61" s="85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</row>
    <row r="62" spans="1:71" ht="15.6" thickBot="1">
      <c r="A62" s="147"/>
      <c r="C62" s="147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9"/>
      <c r="AE62" s="89"/>
      <c r="AF62" s="89"/>
      <c r="AG62" s="89"/>
      <c r="AH62" s="89"/>
      <c r="AI62" s="90"/>
      <c r="AJ62" s="91"/>
      <c r="AK62" s="91"/>
      <c r="AL62" s="91"/>
      <c r="AM62" s="6"/>
      <c r="AN62" s="6"/>
    </row>
    <row r="63" spans="1:71" ht="15.6">
      <c r="A63" s="132"/>
      <c r="B63" s="133"/>
      <c r="C63" s="132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96"/>
      <c r="Y63" s="150"/>
      <c r="Z63" s="150"/>
      <c r="AA63" s="150"/>
      <c r="AB63" s="150"/>
      <c r="AC63" s="150"/>
      <c r="AD63" s="150"/>
      <c r="AE63" s="139"/>
      <c r="AF63" s="139"/>
      <c r="AG63" s="139"/>
      <c r="AH63" s="139"/>
      <c r="AI63" s="140"/>
      <c r="AJ63" s="46"/>
      <c r="AK63" s="46"/>
      <c r="AL63" s="46"/>
      <c r="AM63" s="6"/>
      <c r="AN63" s="6"/>
    </row>
    <row r="64" spans="1:71" ht="15.6">
      <c r="A64" s="98"/>
      <c r="B64" s="71"/>
      <c r="C64" s="66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96"/>
      <c r="Y64" s="96"/>
      <c r="Z64" s="96"/>
      <c r="AA64" s="96"/>
      <c r="AB64" s="96"/>
      <c r="AC64" s="96"/>
      <c r="AD64" s="96"/>
      <c r="AE64" s="139"/>
      <c r="AF64" s="139"/>
      <c r="AG64" s="139"/>
      <c r="AH64" s="139"/>
      <c r="AI64" s="140"/>
      <c r="AJ64" s="46"/>
      <c r="AK64" s="46"/>
      <c r="AL64" s="46"/>
      <c r="AM64" s="18"/>
      <c r="AN64" s="18"/>
    </row>
    <row r="65" spans="1:40" ht="15.6">
      <c r="A65" s="99" t="s">
        <v>215</v>
      </c>
      <c r="B65" s="100"/>
      <c r="C65" s="43">
        <f t="shared" ref="C65:AD65" si="2">C41+C61</f>
        <v>1666.5</v>
      </c>
      <c r="D65" s="44">
        <f t="shared" si="2"/>
        <v>1857</v>
      </c>
      <c r="E65" s="44">
        <f t="shared" si="2"/>
        <v>1904</v>
      </c>
      <c r="F65" s="44">
        <f t="shared" si="2"/>
        <v>1985</v>
      </c>
      <c r="G65" s="44">
        <f t="shared" si="2"/>
        <v>1994.5</v>
      </c>
      <c r="H65" s="44">
        <f t="shared" si="2"/>
        <v>1888.5</v>
      </c>
      <c r="I65" s="44">
        <f t="shared" si="2"/>
        <v>2241.5</v>
      </c>
      <c r="J65" s="44">
        <f t="shared" si="2"/>
        <v>2381.5</v>
      </c>
      <c r="K65" s="44">
        <f t="shared" si="2"/>
        <v>2413</v>
      </c>
      <c r="L65" s="44">
        <f t="shared" si="2"/>
        <v>2442.5</v>
      </c>
      <c r="M65" s="44">
        <f t="shared" si="2"/>
        <v>2590.5</v>
      </c>
      <c r="N65" s="44">
        <f t="shared" si="2"/>
        <v>2606.5</v>
      </c>
      <c r="O65" s="44">
        <f t="shared" si="2"/>
        <v>2677.5</v>
      </c>
      <c r="P65" s="44">
        <f t="shared" si="2"/>
        <v>2882.5</v>
      </c>
      <c r="Q65" s="44">
        <f t="shared" si="2"/>
        <v>2923.5</v>
      </c>
      <c r="R65" s="44">
        <f t="shared" si="2"/>
        <v>2690.5</v>
      </c>
      <c r="S65" s="44">
        <f t="shared" si="2"/>
        <v>2798.5</v>
      </c>
      <c r="T65" s="44">
        <f t="shared" si="2"/>
        <v>2754.5</v>
      </c>
      <c r="U65" s="44">
        <f t="shared" si="2"/>
        <v>2831.5</v>
      </c>
      <c r="V65" s="44">
        <f t="shared" si="2"/>
        <v>2902</v>
      </c>
      <c r="W65" s="44">
        <f t="shared" si="2"/>
        <v>3061</v>
      </c>
      <c r="X65" s="35">
        <f t="shared" si="2"/>
        <v>3085.5</v>
      </c>
      <c r="Y65" s="35">
        <f t="shared" si="2"/>
        <v>2989</v>
      </c>
      <c r="Z65" s="35">
        <f t="shared" si="2"/>
        <v>3075.5</v>
      </c>
      <c r="AA65" s="35">
        <f t="shared" si="2"/>
        <v>2916</v>
      </c>
      <c r="AB65" s="35">
        <f t="shared" si="2"/>
        <v>2979.5</v>
      </c>
      <c r="AC65" s="35">
        <f t="shared" si="2"/>
        <v>2726</v>
      </c>
      <c r="AD65" s="35">
        <f t="shared" si="2"/>
        <v>3039</v>
      </c>
      <c r="AE65" s="139">
        <v>3093</v>
      </c>
      <c r="AF65" s="139">
        <v>3268.5</v>
      </c>
      <c r="AG65" s="139">
        <v>3175.5</v>
      </c>
      <c r="AH65" s="139">
        <v>3328</v>
      </c>
      <c r="AI65" s="140">
        <v>2859</v>
      </c>
      <c r="AJ65" s="46">
        <f>AJ41+AJ61</f>
        <v>2788.5</v>
      </c>
      <c r="AK65" s="46">
        <f>AK41+AK61</f>
        <v>3215</v>
      </c>
      <c r="AL65" s="46">
        <f>AL41+AL61</f>
        <v>3248</v>
      </c>
      <c r="AM65" s="6"/>
      <c r="AN65" s="6"/>
    </row>
    <row r="66" spans="1:40" ht="16.2" thickBot="1">
      <c r="A66" s="101"/>
      <c r="B66" s="87"/>
      <c r="C66" s="101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89"/>
      <c r="Y66" s="89"/>
      <c r="Z66" s="89"/>
      <c r="AA66" s="89"/>
      <c r="AB66" s="89"/>
      <c r="AC66" s="89"/>
      <c r="AD66" s="89"/>
      <c r="AE66" s="154"/>
      <c r="AF66" s="154"/>
      <c r="AG66" s="154"/>
      <c r="AH66" s="154"/>
      <c r="AI66" s="155"/>
      <c r="AJ66" s="156"/>
      <c r="AK66" s="156"/>
      <c r="AL66" s="156"/>
      <c r="AM66" s="6"/>
      <c r="AN66" s="6"/>
    </row>
    <row r="67" spans="1:40">
      <c r="A67" s="11"/>
      <c r="B67" s="105"/>
    </row>
    <row r="68" spans="1:40" ht="30.6">
      <c r="A68" s="158" t="s">
        <v>216</v>
      </c>
      <c r="B68" s="158" t="s">
        <v>217</v>
      </c>
      <c r="X68" s="108"/>
      <c r="Y68" s="108"/>
      <c r="Z68" s="108"/>
      <c r="AA68" s="108"/>
      <c r="AB68" s="108"/>
      <c r="AC68" s="108"/>
      <c r="AD68" s="108"/>
      <c r="AE68" s="108"/>
      <c r="AF68" s="108"/>
      <c r="AG68" s="108"/>
    </row>
    <row r="69" spans="1:40" ht="30">
      <c r="A69" s="159" t="s">
        <v>218</v>
      </c>
      <c r="B69" s="160" t="s">
        <v>219</v>
      </c>
      <c r="C69" s="10"/>
      <c r="D69" s="10"/>
      <c r="E69" s="10"/>
      <c r="F69" s="10"/>
      <c r="G69" s="10"/>
      <c r="H69" s="10"/>
      <c r="I69" s="10"/>
      <c r="J69" s="10"/>
    </row>
    <row r="70" spans="1:40">
      <c r="A70" s="161" t="s">
        <v>220</v>
      </c>
      <c r="B70" s="161" t="s">
        <v>221</v>
      </c>
    </row>
    <row r="73" spans="1:40"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6" spans="1:40"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9" spans="1:40"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40">
      <c r="A80" s="10"/>
      <c r="O80" s="10"/>
      <c r="P80" s="10"/>
    </row>
    <row r="81" spans="1:16">
      <c r="A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</row>
    <row r="82" spans="1:16">
      <c r="O82" s="85"/>
      <c r="P82" s="85"/>
    </row>
    <row r="89" spans="1:16"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6">
      <c r="A90" s="10"/>
    </row>
    <row r="91" spans="1:16">
      <c r="A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</row>
    <row r="94" spans="1:16" ht="15.6">
      <c r="A94" s="18"/>
      <c r="B94" s="17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</row>
    <row r="96" spans="1:16">
      <c r="O96" s="10"/>
      <c r="P96" s="10"/>
    </row>
    <row r="97" spans="1:16">
      <c r="A97" s="10"/>
    </row>
    <row r="98" spans="1:16">
      <c r="A98" s="10"/>
      <c r="O98" s="85"/>
      <c r="P98" s="85"/>
    </row>
    <row r="100" spans="1:16">
      <c r="A100" s="10"/>
    </row>
    <row r="101" spans="1:16">
      <c r="A101" s="10"/>
    </row>
    <row r="102" spans="1:16">
      <c r="A102" s="85"/>
      <c r="C102" s="85"/>
      <c r="D102" s="85"/>
      <c r="G102" s="85"/>
      <c r="H102" s="85"/>
      <c r="I102" s="85"/>
    </row>
    <row r="103" spans="1:16">
      <c r="A103" s="10"/>
    </row>
    <row r="105" spans="1:16">
      <c r="A105" s="10"/>
    </row>
    <row r="106" spans="1:16">
      <c r="O106" s="10"/>
      <c r="P106" s="10"/>
    </row>
    <row r="108" spans="1:16">
      <c r="O108" s="85"/>
      <c r="P108" s="85"/>
    </row>
    <row r="111" spans="1:16" ht="15.6">
      <c r="O111" s="18"/>
      <c r="P111" s="18"/>
    </row>
    <row r="112" spans="1:16">
      <c r="A112" s="10"/>
    </row>
    <row r="114" spans="1:4">
      <c r="A114" s="85"/>
      <c r="C114" s="85"/>
      <c r="D114" s="85"/>
    </row>
    <row r="115" spans="1:4">
      <c r="C115" s="9"/>
      <c r="D115" s="9"/>
    </row>
    <row r="116" spans="1:4">
      <c r="C116" s="9"/>
      <c r="D116" s="9"/>
    </row>
    <row r="117" spans="1:4">
      <c r="A117" s="85"/>
      <c r="C117" s="85"/>
      <c r="D117" s="85"/>
    </row>
    <row r="122" spans="1:4">
      <c r="C122" s="10"/>
    </row>
    <row r="123" spans="1:4">
      <c r="C123" s="10"/>
    </row>
    <row r="124" spans="1:4">
      <c r="C124" s="10"/>
    </row>
    <row r="125" spans="1:4">
      <c r="C125" s="10"/>
    </row>
    <row r="126" spans="1:4">
      <c r="C126" s="10"/>
    </row>
    <row r="130" spans="1:3">
      <c r="C130" s="10"/>
    </row>
    <row r="131" spans="1:3">
      <c r="C131" s="10"/>
    </row>
    <row r="132" spans="1:3">
      <c r="C132" s="10"/>
    </row>
    <row r="133" spans="1:3">
      <c r="A133" s="10"/>
    </row>
    <row r="134" spans="1:3">
      <c r="A134" s="85"/>
      <c r="C134" s="85"/>
    </row>
    <row r="145" spans="1:14">
      <c r="A145" s="85"/>
    </row>
    <row r="147" spans="1:14" ht="16.8">
      <c r="A147" s="112"/>
      <c r="B147" s="14"/>
    </row>
    <row r="148" spans="1:14" ht="16.8">
      <c r="A148" s="112"/>
      <c r="B148" s="14"/>
    </row>
    <row r="151" spans="1:14" ht="15.6">
      <c r="A151" s="18"/>
      <c r="B151" s="17"/>
    </row>
    <row r="152" spans="1:14" ht="15.6">
      <c r="A152" s="18"/>
      <c r="B152" s="17"/>
    </row>
    <row r="153" spans="1:14" ht="15.6">
      <c r="A153" s="113"/>
      <c r="B153" s="114"/>
    </row>
    <row r="156" spans="1:14"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1:14">
      <c r="K157" s="9"/>
      <c r="L157" s="9"/>
      <c r="M157" s="9"/>
      <c r="N157" s="9"/>
    </row>
    <row r="158" spans="1:14"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</row>
    <row r="173" spans="15:16">
      <c r="O173" s="9"/>
      <c r="P173" s="9"/>
    </row>
    <row r="174" spans="15:16">
      <c r="O174" s="9"/>
      <c r="P174" s="9"/>
    </row>
    <row r="175" spans="15:16">
      <c r="O175" s="56"/>
      <c r="P175" s="56"/>
    </row>
    <row r="177" spans="1:14"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>
      <c r="A178" s="10"/>
    </row>
    <row r="179" spans="1:14">
      <c r="A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</row>
    <row r="193" spans="1:16"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6">
      <c r="A194" s="10"/>
      <c r="O194" s="10"/>
      <c r="P194" s="10"/>
    </row>
    <row r="195" spans="1:16">
      <c r="A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</row>
    <row r="196" spans="1:16">
      <c r="O196" s="85"/>
      <c r="P196" s="85"/>
    </row>
    <row r="203" spans="1:16"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6" ht="16.5" customHeight="1">
      <c r="A204" s="10"/>
    </row>
    <row r="205" spans="1:16">
      <c r="A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</row>
    <row r="208" spans="1:16" ht="15.6">
      <c r="A208" s="18"/>
      <c r="B208" s="17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</row>
    <row r="210" spans="1:16">
      <c r="O210" s="10"/>
      <c r="P210" s="10"/>
    </row>
    <row r="211" spans="1:16">
      <c r="A211" s="10"/>
    </row>
    <row r="212" spans="1:16">
      <c r="A212" s="10"/>
      <c r="O212" s="85"/>
      <c r="P212" s="85"/>
    </row>
    <row r="214" spans="1:16">
      <c r="A214" s="10"/>
    </row>
    <row r="215" spans="1:16">
      <c r="A215" s="10"/>
    </row>
    <row r="216" spans="1:16">
      <c r="A216" s="85"/>
      <c r="E216" s="85"/>
      <c r="G216" s="85"/>
      <c r="H216" s="85"/>
      <c r="I216" s="85"/>
    </row>
    <row r="218" spans="1:16" ht="16.8">
      <c r="A218" s="112"/>
      <c r="B218" s="14"/>
    </row>
    <row r="219" spans="1:16" ht="16.8">
      <c r="A219" s="112"/>
      <c r="B219" s="14"/>
    </row>
    <row r="220" spans="1:16">
      <c r="O220" s="10"/>
      <c r="P220" s="10"/>
    </row>
    <row r="221" spans="1:16" ht="15.6">
      <c r="A221" s="18"/>
      <c r="B221" s="17"/>
    </row>
    <row r="222" spans="1:16" ht="15.6">
      <c r="A222" s="18"/>
      <c r="B222" s="17"/>
      <c r="O222" s="85"/>
      <c r="P222" s="85"/>
    </row>
    <row r="223" spans="1:16" ht="15.6">
      <c r="A223" s="18"/>
      <c r="B223" s="17"/>
    </row>
    <row r="224" spans="1:16" ht="15.6">
      <c r="A224" s="113"/>
      <c r="B224" s="114"/>
    </row>
    <row r="225" spans="3:16" ht="15.6">
      <c r="O225" s="18"/>
      <c r="P225" s="18"/>
    </row>
    <row r="227" spans="3:16"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3:16">
      <c r="K228" s="9"/>
      <c r="L228" s="9"/>
      <c r="M228" s="9"/>
      <c r="N228" s="9"/>
    </row>
    <row r="229" spans="3:16"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</row>
    <row r="244" spans="1:16">
      <c r="O244" s="115"/>
      <c r="P244" s="115"/>
    </row>
    <row r="245" spans="1:16">
      <c r="O245" s="9"/>
      <c r="P245" s="9"/>
    </row>
    <row r="246" spans="1:16">
      <c r="O246" s="116"/>
      <c r="P246" s="116"/>
    </row>
    <row r="248" spans="1:16"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6">
      <c r="A249" s="10"/>
    </row>
    <row r="250" spans="1:16">
      <c r="A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</row>
    <row r="254" spans="1:16"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8" spans="1:16"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61" spans="1:16"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4" spans="1:16"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6">
      <c r="A265" s="10"/>
      <c r="O265" s="10"/>
      <c r="P265" s="10"/>
    </row>
    <row r="266" spans="1:16">
      <c r="A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</row>
    <row r="267" spans="1:16">
      <c r="O267" s="85"/>
      <c r="P267" s="85"/>
    </row>
    <row r="274" spans="1:16"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6">
      <c r="A275" s="10"/>
    </row>
    <row r="276" spans="1:16">
      <c r="A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</row>
    <row r="279" spans="1:16" ht="15.6">
      <c r="A279" s="18"/>
      <c r="B279" s="17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</row>
    <row r="281" spans="1:16">
      <c r="O281" s="10"/>
      <c r="P281" s="10"/>
    </row>
    <row r="282" spans="1:16">
      <c r="A282" s="10"/>
    </row>
    <row r="283" spans="1:16">
      <c r="A283" s="10"/>
      <c r="O283" s="85"/>
      <c r="P283" s="85"/>
    </row>
    <row r="284" spans="1:16">
      <c r="A284" s="10"/>
    </row>
    <row r="285" spans="1:16">
      <c r="A285" s="10"/>
    </row>
    <row r="286" spans="1:16">
      <c r="A286" s="10"/>
    </row>
    <row r="288" spans="1:16">
      <c r="A288" s="10"/>
    </row>
    <row r="289" spans="1:16">
      <c r="A289" s="10"/>
    </row>
    <row r="290" spans="1:16">
      <c r="A290" s="10"/>
    </row>
    <row r="291" spans="1:16">
      <c r="A291" s="10"/>
      <c r="O291" s="10"/>
      <c r="P291" s="10"/>
    </row>
    <row r="293" spans="1:16">
      <c r="A293" s="10"/>
      <c r="O293" s="85"/>
      <c r="P293" s="85"/>
    </row>
    <row r="294" spans="1:16">
      <c r="A294" s="10"/>
    </row>
    <row r="295" spans="1:16">
      <c r="A295" s="10"/>
    </row>
    <row r="296" spans="1:16" ht="15.6">
      <c r="O296" s="18"/>
      <c r="P296" s="18"/>
    </row>
    <row r="300" spans="1:16">
      <c r="A300" s="85"/>
      <c r="G300" s="85"/>
      <c r="H300" s="85"/>
    </row>
    <row r="301" spans="1:16">
      <c r="A301" s="10"/>
    </row>
    <row r="303" spans="1:16">
      <c r="A303" s="10"/>
    </row>
    <row r="310" spans="1:3">
      <c r="A310" s="10"/>
    </row>
    <row r="312" spans="1:3">
      <c r="A312" s="85"/>
      <c r="C312" s="85"/>
    </row>
    <row r="313" spans="1:3">
      <c r="C313" s="9"/>
    </row>
    <row r="314" spans="1:3">
      <c r="C314" s="9"/>
    </row>
    <row r="315" spans="1:3">
      <c r="A315" s="85"/>
      <c r="C315" s="85"/>
    </row>
    <row r="317" spans="1:3">
      <c r="C317" s="10"/>
    </row>
    <row r="320" spans="1:3">
      <c r="C320" s="10"/>
    </row>
    <row r="321" spans="1:3">
      <c r="C321" s="10"/>
    </row>
    <row r="322" spans="1:3">
      <c r="C322" s="10"/>
    </row>
    <row r="323" spans="1:3">
      <c r="C323" s="10"/>
    </row>
    <row r="324" spans="1:3">
      <c r="C324" s="10"/>
    </row>
    <row r="328" spans="1:3">
      <c r="C328" s="10"/>
    </row>
    <row r="329" spans="1:3">
      <c r="C329" s="10"/>
    </row>
    <row r="330" spans="1:3">
      <c r="C330" s="10"/>
    </row>
    <row r="331" spans="1:3">
      <c r="A331" s="10"/>
    </row>
    <row r="332" spans="1:3">
      <c r="A332" s="85"/>
      <c r="C332" s="85"/>
    </row>
    <row r="343" spans="1:2">
      <c r="A343" s="85"/>
    </row>
    <row r="345" spans="1:2" ht="16.8">
      <c r="A345" s="112"/>
      <c r="B345" s="14"/>
    </row>
    <row r="346" spans="1:2" ht="16.8">
      <c r="A346" s="112"/>
      <c r="B346" s="14"/>
    </row>
    <row r="349" spans="1:2" ht="15.6">
      <c r="A349" s="18"/>
      <c r="B349" s="17"/>
    </row>
    <row r="350" spans="1:2" ht="15.6">
      <c r="A350" s="18"/>
      <c r="B350" s="17"/>
    </row>
    <row r="351" spans="1:2" ht="15.6">
      <c r="A351" s="113"/>
      <c r="B351" s="114"/>
    </row>
    <row r="354" spans="1:14">
      <c r="D354" s="10"/>
    </row>
    <row r="355" spans="1:14">
      <c r="A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</row>
    <row r="356" spans="1:14"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</row>
    <row r="358" spans="1:14"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</row>
    <row r="372" spans="1:16">
      <c r="O372" s="85"/>
      <c r="P372" s="85"/>
    </row>
    <row r="373" spans="1:16">
      <c r="O373" s="9"/>
      <c r="P373" s="9"/>
    </row>
    <row r="374" spans="1:16">
      <c r="O374" s="9"/>
      <c r="P374" s="9"/>
    </row>
    <row r="375" spans="1:16">
      <c r="O375" s="117"/>
      <c r="P375" s="117"/>
    </row>
    <row r="376" spans="1:16"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6">
      <c r="A377" s="10"/>
    </row>
    <row r="378" spans="1:16">
      <c r="A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</row>
    <row r="392" spans="1:16"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6">
      <c r="A393" s="10"/>
      <c r="O393" s="10"/>
      <c r="P393" s="10"/>
    </row>
    <row r="394" spans="1:16">
      <c r="A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</row>
    <row r="395" spans="1:16">
      <c r="O395" s="85"/>
      <c r="P395" s="85"/>
    </row>
    <row r="402" spans="1:16"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6">
      <c r="A403" s="10"/>
    </row>
    <row r="406" spans="1:16" ht="15.6">
      <c r="A406" s="18"/>
      <c r="B406" s="17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</row>
    <row r="409" spans="1:16">
      <c r="A409" s="10"/>
      <c r="O409" s="10"/>
      <c r="P409" s="10"/>
    </row>
    <row r="410" spans="1:16">
      <c r="A410" s="10"/>
    </row>
    <row r="411" spans="1:16">
      <c r="O411" s="85"/>
      <c r="P411" s="85"/>
    </row>
    <row r="415" spans="1:16">
      <c r="H415" s="85"/>
      <c r="I415" s="85"/>
    </row>
    <row r="417" spans="1:16">
      <c r="A417" s="85"/>
      <c r="C417" s="85"/>
      <c r="D417" s="85"/>
      <c r="F417" s="85"/>
      <c r="J417" s="85"/>
      <c r="K417" s="85"/>
      <c r="L417" s="85"/>
      <c r="M417" s="85"/>
      <c r="N417" s="85"/>
    </row>
    <row r="419" spans="1:16">
      <c r="A419" s="10"/>
      <c r="O419" s="10"/>
      <c r="P419" s="10"/>
    </row>
    <row r="423" spans="1:16" ht="15.6">
      <c r="O423" s="18"/>
      <c r="P423" s="18"/>
    </row>
    <row r="455" spans="1:10">
      <c r="A455" s="85"/>
      <c r="C455" s="85"/>
      <c r="D455" s="85"/>
      <c r="F455" s="85"/>
      <c r="I455" s="85"/>
      <c r="J455" s="85"/>
    </row>
    <row r="456" spans="1:10">
      <c r="I456" s="10"/>
    </row>
    <row r="459" spans="1:10">
      <c r="A459" s="10"/>
    </row>
    <row r="461" spans="1:10" ht="16.8">
      <c r="A461" s="112"/>
      <c r="B461" s="14"/>
    </row>
    <row r="462" spans="1:10" ht="16.8">
      <c r="A462" s="112"/>
      <c r="B462" s="14"/>
    </row>
    <row r="464" spans="1:10" ht="15.6">
      <c r="A464" s="118"/>
      <c r="B464" s="17"/>
    </row>
    <row r="469" spans="1:14">
      <c r="C469" s="9"/>
      <c r="D469" s="9"/>
      <c r="E469" s="9"/>
    </row>
    <row r="470" spans="1:14">
      <c r="K470" s="10"/>
      <c r="L470" s="10"/>
      <c r="M470" s="10"/>
      <c r="N470" s="10"/>
    </row>
    <row r="471" spans="1:14"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</row>
    <row r="472" spans="1:14">
      <c r="A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</row>
    <row r="485" spans="1:16">
      <c r="A485" s="10"/>
    </row>
    <row r="487" spans="1:16" ht="15.6">
      <c r="A487" s="118"/>
      <c r="B487" s="17"/>
      <c r="O487" s="10"/>
      <c r="P487" s="10"/>
    </row>
    <row r="488" spans="1:16">
      <c r="O488" s="56"/>
      <c r="P488" s="56"/>
    </row>
    <row r="489" spans="1:16">
      <c r="O489" s="85"/>
      <c r="P489" s="85"/>
    </row>
    <row r="490" spans="1:16">
      <c r="C490" s="9"/>
      <c r="D490" s="9"/>
      <c r="E490" s="9"/>
    </row>
    <row r="491" spans="1:16">
      <c r="K491" s="10"/>
      <c r="L491" s="10"/>
      <c r="M491" s="10"/>
      <c r="N491" s="10"/>
    </row>
    <row r="492" spans="1:16"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</row>
    <row r="493" spans="1:16">
      <c r="A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</row>
    <row r="494" spans="1:16">
      <c r="O494" s="119"/>
      <c r="P494" s="119"/>
    </row>
    <row r="495" spans="1:16">
      <c r="O495" s="119"/>
      <c r="P495" s="119"/>
    </row>
    <row r="496" spans="1:16">
      <c r="O496" s="119"/>
      <c r="P496" s="119"/>
    </row>
    <row r="497" spans="1:16">
      <c r="O497" s="119"/>
      <c r="P497" s="119"/>
    </row>
    <row r="498" spans="1:16">
      <c r="O498" s="119"/>
      <c r="P498" s="119"/>
    </row>
    <row r="499" spans="1:16" ht="15.6" thickBot="1">
      <c r="O499" s="122"/>
      <c r="P499" s="122"/>
    </row>
    <row r="500" spans="1:16" ht="15.6" thickTop="1"/>
    <row r="505" spans="1:16" ht="15.6" thickBot="1"/>
    <row r="506" spans="1:16" ht="15.6" thickTop="1">
      <c r="O506" s="125"/>
      <c r="P506" s="125"/>
    </row>
    <row r="507" spans="1:16">
      <c r="A507" s="10"/>
      <c r="O507" s="119"/>
      <c r="P507" s="119"/>
    </row>
    <row r="508" spans="1:16">
      <c r="O508" s="127"/>
      <c r="P508" s="127"/>
    </row>
    <row r="509" spans="1:16">
      <c r="O509" s="128"/>
      <c r="P509" s="128"/>
    </row>
    <row r="510" spans="1:16">
      <c r="A510" s="10"/>
      <c r="O510" s="129"/>
      <c r="P510" s="129"/>
    </row>
    <row r="511" spans="1:16">
      <c r="A511" s="85"/>
      <c r="C511" s="85"/>
      <c r="D511" s="85"/>
      <c r="E511" s="85"/>
      <c r="F511" s="85"/>
      <c r="G511" s="85"/>
      <c r="O511" s="119"/>
      <c r="P511" s="119"/>
    </row>
    <row r="512" spans="1:16">
      <c r="C512" s="9"/>
      <c r="D512" s="9"/>
      <c r="E512" s="9"/>
      <c r="F512" s="9"/>
      <c r="O512" s="119"/>
      <c r="P512" s="119"/>
    </row>
    <row r="513" spans="1:16">
      <c r="F513" s="9"/>
      <c r="G513" s="9"/>
      <c r="O513" s="119"/>
      <c r="P513" s="119"/>
    </row>
    <row r="514" spans="1:16">
      <c r="A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119"/>
      <c r="P514" s="119"/>
    </row>
    <row r="515" spans="1:16">
      <c r="O515" s="119"/>
      <c r="P515" s="119"/>
    </row>
    <row r="516" spans="1:16">
      <c r="O516" s="119"/>
      <c r="P516" s="119"/>
    </row>
    <row r="517" spans="1:16">
      <c r="A517" s="10"/>
      <c r="O517" s="119"/>
      <c r="P517" s="119"/>
    </row>
    <row r="518" spans="1:16">
      <c r="O518" s="119"/>
      <c r="P518" s="119"/>
    </row>
    <row r="519" spans="1:16">
      <c r="O519" s="119"/>
      <c r="P519" s="119"/>
    </row>
    <row r="520" spans="1:16" ht="15.6" thickBot="1">
      <c r="O520" s="122"/>
      <c r="P520" s="122"/>
    </row>
    <row r="521" spans="1:16" ht="15.6" thickTop="1">
      <c r="A521" s="10"/>
    </row>
    <row r="523" spans="1:16">
      <c r="A523" s="10"/>
    </row>
    <row r="531" spans="1:16">
      <c r="O531" s="85"/>
      <c r="P531" s="85"/>
    </row>
    <row r="538" spans="1:16">
      <c r="A538" s="10"/>
    </row>
    <row r="539" spans="1:16">
      <c r="A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</row>
    <row r="540" spans="1:16">
      <c r="C540" s="9"/>
      <c r="D540" s="9"/>
      <c r="E540" s="9"/>
      <c r="F540" s="9"/>
    </row>
    <row r="542" spans="1:16">
      <c r="A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</row>
    <row r="545" spans="1:16">
      <c r="A545" s="10"/>
    </row>
    <row r="549" spans="1:16">
      <c r="A549" s="10"/>
    </row>
    <row r="551" spans="1:16">
      <c r="A551" s="10"/>
    </row>
    <row r="556" spans="1:16">
      <c r="O556" s="85"/>
      <c r="P556" s="85"/>
    </row>
    <row r="559" spans="1:16">
      <c r="O559" s="85"/>
      <c r="P559" s="85"/>
    </row>
    <row r="561" spans="1:14">
      <c r="A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</row>
    <row r="562" spans="1:14">
      <c r="C562" s="9"/>
      <c r="D562" s="9"/>
      <c r="E562" s="9"/>
      <c r="F562" s="9"/>
    </row>
    <row r="563" spans="1:14">
      <c r="J563" s="9"/>
      <c r="K563" s="9"/>
      <c r="L563" s="9"/>
      <c r="M563" s="9"/>
      <c r="N563" s="9"/>
    </row>
    <row r="564" spans="1:14">
      <c r="A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</row>
    <row r="566" spans="1:14">
      <c r="A566" s="10"/>
    </row>
    <row r="568" spans="1:14">
      <c r="A568" s="10"/>
    </row>
    <row r="572" spans="1:14">
      <c r="A572" s="10"/>
    </row>
    <row r="574" spans="1:14">
      <c r="A574" s="10"/>
    </row>
    <row r="578" spans="1:16">
      <c r="O578" s="85"/>
      <c r="P578" s="85"/>
    </row>
    <row r="580" spans="1:16">
      <c r="O580" s="9"/>
      <c r="P580" s="9"/>
    </row>
    <row r="581" spans="1:16">
      <c r="A581" s="10"/>
      <c r="O581" s="85"/>
      <c r="P581" s="85"/>
    </row>
    <row r="584" spans="1:16">
      <c r="A584" s="85"/>
      <c r="C584" s="85"/>
      <c r="D584" s="85"/>
      <c r="E584" s="85"/>
      <c r="F584" s="85"/>
      <c r="G584" s="85"/>
    </row>
    <row r="585" spans="1:16">
      <c r="C585" s="9"/>
      <c r="D585" s="9"/>
      <c r="E585" s="9"/>
      <c r="F585" s="9"/>
      <c r="G585" s="9"/>
    </row>
    <row r="586" spans="1:16">
      <c r="F586" s="9"/>
      <c r="G586" s="9"/>
    </row>
    <row r="587" spans="1:16">
      <c r="A587" s="85"/>
      <c r="C587" s="85"/>
      <c r="D587" s="85"/>
      <c r="E587" s="85"/>
      <c r="F587" s="85"/>
      <c r="G587" s="85"/>
    </row>
    <row r="601" spans="1:9">
      <c r="A601" s="85"/>
      <c r="C601" s="85"/>
      <c r="D601" s="85"/>
      <c r="E601" s="85"/>
      <c r="F601" s="85"/>
      <c r="G601" s="85"/>
      <c r="I601" s="85"/>
    </row>
    <row r="602" spans="1:9">
      <c r="A602" s="10"/>
    </row>
    <row r="607" spans="1:9">
      <c r="A607" s="10"/>
    </row>
    <row r="610" spans="1:14">
      <c r="A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</row>
    <row r="612" spans="1:14">
      <c r="I612" s="9"/>
      <c r="J612" s="9"/>
      <c r="K612" s="9"/>
      <c r="L612" s="9"/>
      <c r="M612" s="9"/>
      <c r="N612" s="9"/>
    </row>
    <row r="613" spans="1:14">
      <c r="A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</row>
    <row r="626" spans="1:14">
      <c r="A626" s="85"/>
    </row>
    <row r="629" spans="1:14">
      <c r="A629" s="10"/>
    </row>
    <row r="632" spans="1:14">
      <c r="A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</row>
    <row r="634" spans="1:14">
      <c r="I634" s="9"/>
      <c r="J634" s="9"/>
    </row>
    <row r="635" spans="1:14">
      <c r="A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</row>
    <row r="648" spans="1:14">
      <c r="A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</row>
  </sheetData>
  <mergeCells count="2">
    <mergeCell ref="A6:D7"/>
    <mergeCell ref="A65:B65"/>
  </mergeCells>
  <printOptions horizontalCentered="1" verticalCentered="1"/>
  <pageMargins left="0" right="0" top="0" bottom="0" header="0" footer="0"/>
  <pageSetup paperSize="9" scale="10" orientation="landscape" horizontalDpi="360" verticalDpi="360" r:id="rId1"/>
  <headerFooter alignWithMargins="0"/>
  <rowBreaks count="1" manualBreakCount="1">
    <brk id="10" max="38" man="1"/>
  </rowBreaks>
  <colBreaks count="1" manualBreakCount="1">
    <brk id="34" max="70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268CB-D1C7-488B-94BB-17BFD233628B}">
  <dimension ref="A1:D9"/>
  <sheetViews>
    <sheetView workbookViewId="0">
      <selection activeCell="A3" sqref="A3"/>
    </sheetView>
  </sheetViews>
  <sheetFormatPr baseColWidth="10" defaultRowHeight="14.4"/>
  <sheetData>
    <row r="1" spans="1:4">
      <c r="A1" t="s">
        <v>242</v>
      </c>
    </row>
    <row r="2" spans="1:4" ht="15" thickBot="1"/>
    <row r="3" spans="1:4">
      <c r="A3" s="366" t="s">
        <v>243</v>
      </c>
      <c r="B3" s="351" t="s">
        <v>244</v>
      </c>
    </row>
    <row r="4" spans="1:4" ht="15" thickBot="1">
      <c r="A4" s="254">
        <v>1</v>
      </c>
      <c r="B4" s="288">
        <v>1092</v>
      </c>
    </row>
    <row r="5" spans="1:4" ht="15" thickBot="1"/>
    <row r="6" spans="1:4" ht="15" thickBot="1">
      <c r="A6" s="363"/>
      <c r="B6" s="359" t="s">
        <v>290</v>
      </c>
      <c r="C6" s="357" t="s">
        <v>291</v>
      </c>
      <c r="D6" s="358" t="s">
        <v>292</v>
      </c>
    </row>
    <row r="7" spans="1:4">
      <c r="A7" s="364" t="s">
        <v>287</v>
      </c>
      <c r="B7" s="360">
        <v>3990</v>
      </c>
      <c r="C7" s="355">
        <f>B7-D7</f>
        <v>362.72727272727298</v>
      </c>
      <c r="D7" s="356">
        <f>B7/1.1</f>
        <v>3627.272727272727</v>
      </c>
    </row>
    <row r="8" spans="1:4">
      <c r="A8" s="365" t="s">
        <v>288</v>
      </c>
      <c r="B8" s="361">
        <v>2750</v>
      </c>
      <c r="C8" s="350">
        <f t="shared" ref="C8:C9" si="0">B8-D8</f>
        <v>250</v>
      </c>
      <c r="D8" s="352">
        <f>B8/1.1</f>
        <v>2500</v>
      </c>
    </row>
    <row r="9" spans="1:4" ht="15" thickBot="1">
      <c r="A9" s="331" t="s">
        <v>289</v>
      </c>
      <c r="B9" s="362">
        <f>B8*0.9</f>
        <v>2475</v>
      </c>
      <c r="C9" s="353">
        <f t="shared" si="0"/>
        <v>225</v>
      </c>
      <c r="D9" s="354">
        <f>B9/1.1</f>
        <v>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4</vt:i4>
      </vt:variant>
    </vt:vector>
  </HeadingPairs>
  <TitlesOfParts>
    <vt:vector size="13" baseType="lpstr">
      <vt:lpstr>Mercado</vt:lpstr>
      <vt:lpstr>Objetivo</vt:lpstr>
      <vt:lpstr>Directorio</vt:lpstr>
      <vt:lpstr>P&amp;L</vt:lpstr>
      <vt:lpstr>Prod. </vt:lpstr>
      <vt:lpstr>Imp.</vt:lpstr>
      <vt:lpstr>Exp.</vt:lpstr>
      <vt:lpstr>Con.</vt:lpstr>
      <vt:lpstr>Valores</vt:lpstr>
      <vt:lpstr>Con.!Área_de_impresión</vt:lpstr>
      <vt:lpstr>Exp.!Área_de_impresión</vt:lpstr>
      <vt:lpstr>Imp.!Área_de_impresión</vt:lpstr>
      <vt:lpstr>'Prod.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Varalla</dc:creator>
  <cp:lastModifiedBy>Carlos Varalla</cp:lastModifiedBy>
  <dcterms:created xsi:type="dcterms:W3CDTF">2026-06-21T21:57:16Z</dcterms:created>
  <dcterms:modified xsi:type="dcterms:W3CDTF">2026-06-22T12:54:39Z</dcterms:modified>
</cp:coreProperties>
</file>